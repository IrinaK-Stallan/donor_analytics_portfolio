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fkk\Documents\"/>
    </mc:Choice>
  </mc:AlternateContent>
  <xr:revisionPtr revIDLastSave="0" documentId="13_ncr:1_{91B1B72E-A576-4FD8-B498-1920E22D3838}" xr6:coauthVersionLast="47" xr6:coauthVersionMax="47" xr10:uidLastSave="{00000000-0000-0000-0000-000000000000}"/>
  <bookViews>
    <workbookView xWindow="-110" yWindow="-110" windowWidth="19420" windowHeight="10420" firstSheet="1" activeTab="1" xr2:uid="{AE4848BE-DCE0-4882-9726-DC649DE2744C}"/>
  </bookViews>
  <sheets>
    <sheet name="Оглавление" sheetId="11" r:id="rId1"/>
    <sheet name="1_Регионы" sheetId="1" r:id="rId2"/>
    <sheet name="2_Динамика_донаций" sheetId="2" r:id="rId3"/>
    <sheet name="3_Активные_доноры" sheetId="3" r:id="rId4"/>
    <sheet name="4_Бонусы" sheetId="7" r:id="rId5"/>
    <sheet name="5_Соцсети" sheetId="8" r:id="rId6"/>
    <sheet name="6_Retention" sheetId="9" r:id="rId7"/>
    <sheet name="7_План_vs_факт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<sst xmlns="http://schemas.openxmlformats.org/spreadsheetml/2006/main" count="167" uniqueCount="151">
  <si>
    <t>Россия, Москва</t>
  </si>
  <si>
    <t>Россия, Санкт-Петербург</t>
  </si>
  <si>
    <t>Россия, Татарстан, Казань</t>
  </si>
  <si>
    <t>Украина, Киевская область, Киев</t>
  </si>
  <si>
    <t>Россия, Новосибирская область, Новосибирск</t>
  </si>
  <si>
    <t>Россия, Свердловская область, Екатеринбург</t>
  </si>
  <si>
    <t>Россия, Башкортостан, Уфа</t>
  </si>
  <si>
    <t>Россия, Красноярский край, Красноярск</t>
  </si>
  <si>
    <t>Россия, Краснодарский край, Краснодар</t>
  </si>
  <si>
    <t>region</t>
  </si>
  <si>
    <t>cnt_donors_reg</t>
  </si>
  <si>
    <t>prcnt_donors_reg</t>
  </si>
  <si>
    <t xml:space="preserve"> --1. Определить регионы с наибольшим количеством зарегистрированных доноров.</t>
  </si>
  <si>
    <t>-</t>
  </si>
  <si>
    <t xml:space="preserve"> --2. Изучить динамику общего количества донаций в месяц за 2022 и 2023 годы.</t>
  </si>
  <si>
    <t>SELECT 
	EXTRACT(MONTH FROM dan.donation_date) months,
	SUM(CASE WHEN EXTRACT(YEAR FROM dan.donation_date) = '2022' THEN 1 ELSE 0 END) "2022",
	SUM(CASE WHEN EXTRACT(YEAR FROM dan.donation_date) = '2023' THEN 1 ELSE 0 END) "2023"
FROM donorsearch.donation_anon dan
WHERE (EXTRACT(YEAR FROM dan.donation_date) = '2022' OR EXTRACT(YEAR FROM dan.donation_date) = '2023')
GROUP BY months
;</t>
  </si>
  <si>
    <t>WITH t1 AS (
	SELECT 
		uad.region,
		COUNT(uad.id) OVER (PARTITION BY uad.region) cnt_donors_reg,
		COUNT(uad.id) OVER (PARTITION BY NULL) cnt_donors_all
	FROM donorsearch.user_anon_data uad 
)
SELECT DISTINCT region,
	cnt_donors_reg,
	ROUND(cnt_donors_reg::numeric / cnt_donors_all * 100, 2) prcnt_donors_reg
FROM t1
ORDER BY cnt_donors_reg DESC
LIMIT 10
;</t>
  </si>
  <si>
    <t>Выводы:</t>
  </si>
  <si>
    <t>--У большинства доноров регион не указан - 37,83%. Среди прочих больше всего доноров в России:</t>
  </si>
  <si>
    <t>--Россия, Москва - 37819, 14.23%</t>
  </si>
  <si>
    <t>--Россия, Санкт-Петербург - 13137, 4.94%</t>
  </si>
  <si>
    <t>--Россия, Татарстан, Казань - 66102, 2.49%</t>
  </si>
  <si>
    <t>--Либо Россия - страна доноров, либо этим сервисом полльзуются в основном россияне.</t>
  </si>
  <si>
    <t>--В 2022 г. наблюдалась положительная динамика роста числа донаций в течение всего года.</t>
  </si>
  <si>
    <t>--В 2023 г. динамика скорее отрицательная, особенно уверенный спад числа донаций стал наблюдаться после июня 2023 г.</t>
  </si>
  <si>
    <t>--Нужны дополнительные исследования различных срезов данных о донациях для выявления факторов, повлиявших на этот спад.</t>
  </si>
  <si>
    <t>user_id</t>
  </si>
  <si>
    <t>cnt_donations_all</t>
  </si>
  <si>
    <t xml:space="preserve"> --3. Определить наиболее активных доноров в системе, учитывая только данные о зарегистрированных и подтвержденных донациях.</t>
  </si>
  <si>
    <t>donation_period</t>
  </si>
  <si>
    <t>donations_per_year</t>
  </si>
  <si>
    <t>--Самые активные доноры имеют каждый более 200 донаций (или планов на донации) за весь период (все годы участия в донациях).</t>
  </si>
  <si>
    <t>--Если же взять в расчёт соотношение количества донаций и общего периода донорства (в полных годах), то видно, что:</t>
  </si>
  <si>
    <t>--1е место - донор-4 (19,67 донаций в год);</t>
  </si>
  <si>
    <t>--2е место - донор-5 (18,92 донаций в год);</t>
  </si>
  <si>
    <t>--3е место - донор-3 (18,15 донаций в год);</t>
  </si>
  <si>
    <t>--У самого активного донора (донор-1) 361 донация (д.)! Но это за 48 лет. Донор-2: 256 д., доноры-3 и -4: 236 д., донор-5: 227 д.</t>
  </si>
  <si>
    <t>--Таким образом, абсолютные лидеры по количству донаций и по интенсивности их, совокупно - донор-4, донор-3 и донор-5!</t>
  </si>
  <si>
    <t>donor_№</t>
  </si>
  <si>
    <t>донор-1</t>
  </si>
  <si>
    <t>донор-2</t>
  </si>
  <si>
    <t>донор-3</t>
  </si>
  <si>
    <t>донор-4</t>
  </si>
  <si>
    <t>донор-5</t>
  </si>
  <si>
    <t>донор-6</t>
  </si>
  <si>
    <t>донор-7</t>
  </si>
  <si>
    <t>донор-8</t>
  </si>
  <si>
    <t>донор-9</t>
  </si>
  <si>
    <t>донор-10</t>
  </si>
  <si>
    <t>WITH t1 AS (
SELECT DISTINCT
	user_id,
	EXTRACT(YEAR FROM AGE(MAX(coalesce(donation_date, plan_date)), MIN(coalesce(donation_date, plan_date)))) donation_years,
	COUNT(donation_date) + COUNT(plan_date) FILTER (WHERE plan_date &gt; donation_date) cnt_donations_all
FROM donorsearch.donation_anon
GROUP BY user_id
ORDER BY cnt_donations_all DESC
)
SELECT user_id,
	donation_years,
	cnt_donations_all,
	ROUND(cnt_donations_all/ donation_years, 2) donations_per_year
FROM t1
ORDER BY cnt_donations_all DESC, donations_per_year
LIMIT 10
;</t>
  </si>
  <si>
    <t>month</t>
  </si>
  <si>
    <t>Farfor: Пицца бесплатно на Farfor.ru</t>
  </si>
  <si>
    <t>Яндекс Плюс: 2 месяца подписки Яндекс Плюс бесплатно</t>
  </si>
  <si>
    <t>Ozon: Подписка Ozon Premium на 1 месяц</t>
  </si>
  <si>
    <t>Другое Дело: 6000 баллов на платформе Другое Дело</t>
  </si>
  <si>
    <t>More.TV: 45 дней подписки в подарок</t>
  </si>
  <si>
    <t>Самокат: Скидка 20% на товары бренда Самокат</t>
  </si>
  <si>
    <t>Lamoda: -15% на товары</t>
  </si>
  <si>
    <t>Литрес: Бесплатные книги и скидка 20% в Литрес</t>
  </si>
  <si>
    <t>Flowwow: Скидка 15% на весь ассортимент Flowwow</t>
  </si>
  <si>
    <t>МИФ: Книга в подарок - Заряжен на 100%</t>
  </si>
  <si>
    <t>Литрес: DonorSearch и Литрес дарят подарки!</t>
  </si>
  <si>
    <t>МИФ: Книга в подарок - Не сходите с ума на работе</t>
  </si>
  <si>
    <t>МИФ: Книга от МИФ "Заряжен на 100%" - в подарок</t>
  </si>
  <si>
    <t>МТС Premium: Подписка МТС Premium на 60 дней</t>
  </si>
  <si>
    <t>МИФ: Книга от МИФ "Почему мы ошибаемся" в подарок</t>
  </si>
  <si>
    <t>МИФ: Книга от МИФ "Лучше с каждым днем" - в подарок</t>
  </si>
  <si>
    <t>Tasty Coffee: 15% скидки в Tasty Coffee</t>
  </si>
  <si>
    <t>Utair: 250 миль от Utair</t>
  </si>
  <si>
    <t>Подписка Газпром Бонус: Подписка Газпром Бонус</t>
  </si>
  <si>
    <t>Hobby Games: 500 бонусных рублей на настольные игры</t>
  </si>
  <si>
    <t>cnt_donors</t>
  </si>
  <si>
    <t>bonuss</t>
  </si>
  <si>
    <t xml:space="preserve"> --4. Оценить, как система бонусов влияет на зарегистрированные в системе донации.</t>
  </si>
  <si>
    <t>SELECT 
	DISTINCT partner || ': ' || bonus_name AS bonuss,
	COUNT(DISTINCT user_id) cnt_donors
FROM donorsearch.user_anon_bonus uab
GROUP BY bonuss
ORDER BY cnt_donors DESC, bonuss
LIMIT 20
;</t>
  </si>
  <si>
    <t>--Farfor: Пицца бесплатно на Farfor.ru - 4586 доноров</t>
  </si>
  <si>
    <t>--Яндекс Плюс: 2 месяца подписки Яндекс Плюс бесплатно - 2766 доноров</t>
  </si>
  <si>
    <t>--Ozon: Подписка Ozon Premium на 1 месяц - 1675 доноров</t>
  </si>
  <si>
    <t>--Другое Дело: 6000 баллов на платформе Другое Дело - 1315 доноров</t>
  </si>
  <si>
    <t>--More.TV: 45 дней подписки в подарок - 995 доноров</t>
  </si>
  <si>
    <t xml:space="preserve">--Но! Тут дело может быть не во влиянии конкретных бонусов на мотивацию доноров, а в том, </t>
  </si>
  <si>
    <t>--что указанные бонусы чаще всего директивно предлагаются в качестве вознаграждения за донации.</t>
  </si>
  <si>
    <t>--Если оценивать кол-во доноров, зарегистрировавших свои донации, и получивших за них бонусы, то наиболее популярными можно назвать следующие бонусы:</t>
  </si>
  <si>
    <t xml:space="preserve"> --5. Исследовать вовлечение новых доноров через социальные сети. Узнать, сколько по каким каналам пришло доноров, и среднее количество донаций по каждому каналу.</t>
  </si>
  <si>
    <t>SELECT 
	'vk' AS channel, 
	COUNT(DISTINCT uad.id) cnt_donors,
	ROUND(AVG(dan.id), 2) avg_donations
FROM donorsearch.user_anon_data uad 
LEFT JOIN donorsearch.donation_anon dan ON uad.id = dan.user_id
WHERE uad.autho_vk IS TRUE
	UNION
SELECT 
	'yandex' AS channel, 
	COUNT(DISTINCT uad.id) cnt_donors,
	ROUND(AVG(dan.id), 2) avg_donations
FROM donorsearch.user_anon_data uad 
LEFT JOIN donorsearch.donation_anon dan ON uad.id = dan.user_id
WHERE uad.autho_yandex IS TRUE
	UNION
SELECT 
	'tg' AS channel, 
	COUNT(DISTINCT uad.id) cnt_donors,
	ROUND(AVG(dan.id), 2) avg_donations
FROM donorsearch.user_anon_data uad 
LEFT JOIN donorsearch.donation_anon dan ON uad.id = dan.user_id
WHERE uad.autho_tg IS TRUE
	UNION
SELECT 
	'google' AS channel, 
	COUNT(DISTINCT uad.id) cnt_donors,
	ROUND(AVG(dan.id), 2) avg_donations
FROM donorsearch.user_anon_data uad 
LEFT JOIN donorsearch.donation_anon dan ON uad.id = dan.user_id
WHERE uad.autho_google IS TRUE
	UNION
SELECT 
	'ok' AS channel, 
	COUNT(DISTINCT uad.id) cnt_donors,
	ROUND(AVG(dan.id), 2) avg_donations
FROM donorsearch.user_anon_data uad 
LEFT JOIN donorsearch.donation_anon dan ON uad.id = dan.user_id
WHERE uad.autho_ok IS TRUE
ORDER BY cnt_donors DESC, avg_donations DESC
;</t>
  </si>
  <si>
    <t>avg_donations</t>
  </si>
  <si>
    <t>channel</t>
  </si>
  <si>
    <t>vk</t>
  </si>
  <si>
    <t>google</t>
  </si>
  <si>
    <t>ok</t>
  </si>
  <si>
    <t>yandex</t>
  </si>
  <si>
    <t>tg</t>
  </si>
  <si>
    <t>--Чаще всего пользователи приходят по каналам vk и google.</t>
  </si>
  <si>
    <t>--Наибольшие же средние показатели донаций распределены между google, yandex и vk.</t>
  </si>
  <si>
    <t>--Это было бы так, если бы это были данные о каналах привлечения доноров.</t>
  </si>
  <si>
    <t>--Но это данные об аккаунтах соответствующих платформ, привязанных к профилям доноров.</t>
  </si>
  <si>
    <t>--Т.о., полученные данные, на самом деле, говорят нам о том:</t>
  </si>
  <si>
    <t>--1) У какого кол-ва доноров их профили связаны с аккаунтами указанных сервисов, в разбивке по сервисам.</t>
  </si>
  <si>
    <t>--2) Каково среднее кол-во донаций, приходящихся на доноров, профили которых связаны с указанным сервисами, в разбивке по сервисам.</t>
  </si>
  <si>
    <t xml:space="preserve"> --6. Сравнить активность однократных доноров со средней активностью повторных доноров.</t>
  </si>
  <si>
    <t>avg_donations_1</t>
  </si>
  <si>
    <t>avg_donations_few</t>
  </si>
  <si>
    <t>cnt_donors_1</t>
  </si>
  <si>
    <t>cnt_donors_few</t>
  </si>
  <si>
    <t>ratio_donors</t>
  </si>
  <si>
    <t>--Число однократно активных доноров примерно на 10% больше числа многократных доноров.</t>
  </si>
  <si>
    <t>--При этом средняя активность (кол-во донаций) многократных доноров в 10 раз выше, чем у однократных доноров.</t>
  </si>
  <si>
    <t>--Но наиболее ценный вклад вносят люди, осознанно и системно следующие пути донорства (ради помощи ли ближнему, ради бонусов ли - это тема отдельного исследования).</t>
  </si>
  <si>
    <t>--7. Сравнить данные о планируемых донациях с фактическими данными, чтобы оценить эффективность планирования.</t>
  </si>
  <si>
    <t>ratio_donations_few</t>
  </si>
  <si>
    <t>WITH t1 AS (
SELECT DISTINCT dan.user_id,
	COUNT(dan.id) OVER (PARTITION BY dan.user_id) cnt_donations_user,
	COUNT(dan.id) OVER (PARTITION BY NULL) cnt_donations_all
FROM donorsearch.user_anon_data uad 
JOIN donorsearch.donation_anon dan ON uad.id = dan.user_id
)
SELECT 
	AVG(cnt_donations_user) FILTER (WHERE cnt_donations_user = 1) avg_donations_1,
	ROUND(AVG(cnt_donations_user) FILTER (WHERE cnt_donations_user &gt; 1), 2) avg_donations_few,
	COUNT(DISTINCT user_id) FILTER (WHERE cnt_donations_user = 1) cnt_donors_1,
	COUNT(DISTINCT user_id) FILTER (WHERE cnt_donations_user &gt; 1) cnt_donors_few,
	ROUND((COUNT(DISTINCT user_id) FILTER (WHERE cnt_donations_user &gt; 1))::numeric / COUNT(DISTINCT user_id) FILTER (WHERE cnt_donations_user = 1), 3) ratio_donors,
	ROUND(SUM(cnt_donations_user) FILTER (WHERE cnt_donations_user &gt; 1) / MAX(cnt_donations_all)::NUMERIC, 3) ratio_donations_few
FROM t1
;</t>
  </si>
  <si>
    <t>--Также видно, что максимальная доля, вносимая в общее число донаций, принадлежит многократным донорам - более 90%.</t>
  </si>
  <si>
    <t>--Т.о., влиянию момента/настроения подвержены многие и это приносит свою пользу в донорстве крови.</t>
  </si>
  <si>
    <t>cnt_donation_fact</t>
  </si>
  <si>
    <t>cnt_donation_plan</t>
  </si>
  <si>
    <t>percent_plan_fact</t>
  </si>
  <si>
    <t>--Если для организаторов донаций статистика по планированию важна, то рекомендуется сделать такое планирование привлекательным для потенциальных доноров.</t>
  </si>
  <si>
    <t>--Как видно по полученным результатам, роль планирования в донации крови невелика - всего 3,61% от числа фактически проведённых донаций.</t>
  </si>
  <si>
    <t>--Далеко не всякий будет заморачиваться с тем, чтобы планировать что-то на отдельном сервисе, а не в собственном календаре, например.</t>
  </si>
  <si>
    <t>--Это может быть как система материальных бонусов именно за планирование, так и разработка более удобной процедуры сдачи крови для тех, кто запланировал её на сайте заранее.</t>
  </si>
  <si>
    <t>--Но так как plan_date — это дата донации, запланированной именно на сайте donorsearch.org, то данные не слишком объективны.</t>
  </si>
  <si>
    <t>--* 0 донаций в декабре 2023 — возможно, ошибка данных, нужно уточнять у владельца данных.</t>
  </si>
  <si>
    <t>--Неясно, как работает эта система: донор сам выбирает бонусы из большого их списка или просто получает то, что дают (нужно уточнять у владельца данных).</t>
  </si>
  <si>
    <t>--Возможно есть смысл в организации A/B-тестирования для проверки: одной группе предлагать выбор бонуса, другой — назначать директивно.</t>
  </si>
  <si>
    <t>Всего</t>
  </si>
  <si>
    <t>months_2022-2023</t>
  </si>
  <si>
    <t>--Общие данные по всему периоду в целом:</t>
  </si>
  <si>
    <t>--Данные за 2022-2023 гг. в разбивке по месяцам:</t>
  </si>
  <si>
    <t>--За последние годы (в данных) видно рост доли запланированных донаций - в среднем это 12% за 2 года.</t>
  </si>
  <si>
    <t>--Также хорошо прослеживается устойчивость этого роста в течение всех 2х лет - почти в 2 раза (с 7% до 14%).</t>
  </si>
  <si>
    <t>--Возможно, владелец данных уже реализует некие стратегии по привлечению доноров к планированию донаций на его сервисе (нужно уточнять).</t>
  </si>
  <si>
    <t>--Также нужно посмотреть на более свежую статистику, чтобы понять, сохраняется ли устойчивость в росте доли запланированных донаций.</t>
  </si>
  <si>
    <t xml:space="preserve"> --Всего:
SELECT 
	COUNT(donation_date) cnt_donation_fact,
	COUNT(plan_date) cnt_donation_plan,
	ROUND(COUNT(plan_date)::numeric / COUNT(donation_date) * 100, 2) percent_plan_fact
FROM donorsearch.donation_anon
;
--2022-2023:
WITH t1 AS (
SELECT 
	DATE_TRUNC('MONTH', donation_date) donation_month_fact,
	COUNT(donation_date) cnt_donation_fact
FROM donorsearch.donation_anon
WHERE EXTRACT(YEAR FROM donation_date) BETWEEN '2022' AND '2023'
GROUP BY donation_month_fact
),
t2 AS (
SELECT 
	DATE_TRUNC('MONTH', plan_date) donation_month_plan,
	COUNT(plan_date) cnt_donation_plan
FROM donorsearch.donation_anon
WHERE EXTRACT(YEAR FROM plan_date) BETWEEN '2022' AND '2023'
GROUP BY donation_month_plan
)
SELECT 
	t1.donation_month_fact::date AS months,
	t2.cnt_donation_plan,
	t1.cnt_donation_fact,
	ROUND(cnt_donation_plan::numeric / cnt_donation_fact * 100, 2) percent_plan_fact
FROM t1 
LEFT JOIN t2 ON t1.donation_month_fact = t2.donation_month_plan
;</t>
  </si>
  <si>
    <t>Раздел</t>
  </si>
  <si>
    <t>Название листа</t>
  </si>
  <si>
    <t>Что показывает</t>
  </si>
  <si>
    <t>1_Регионы</t>
  </si>
  <si>
    <t>Топ регионов по числу доноров</t>
  </si>
  <si>
    <t>Помесячная динамика донаций (2022–2023)</t>
  </si>
  <si>
    <t>3_Активные доноры</t>
  </si>
  <si>
    <t>Рейтинг доноров по активности</t>
  </si>
  <si>
    <t>4_Бонусы</t>
  </si>
  <si>
    <t>Популярность бонусов</t>
  </si>
  <si>
    <t>5_Соцсети</t>
  </si>
  <si>
    <t>Привязанные аккаунты и активность</t>
  </si>
  <si>
    <t>6_Retention</t>
  </si>
  <si>
    <t>Однократные vs многократные доноры</t>
  </si>
  <si>
    <t>2_Динамика_донаций</t>
  </si>
  <si>
    <t>7_План_vs_факт</t>
  </si>
  <si>
    <t>Эффективность планирования донаций</t>
  </si>
  <si>
    <t>К Оглавлению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</si>
</sst>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sz val="10"/>
      <color rgb="FF808080"/>
      <name val="Consolas"/>
      <family val="3"/>
      <charset val="204"/>
    </font>
    <font>
      <i/>
      <sz val="10"/>
      <color rgb="FF006464"/>
      <name val="Consolas"/>
      <family val="3"/>
      <charset val="204"/>
    </font>
    <font>
      <sz val="8"/>
      <name val="Calibri"/>
      <family val="2"/>
      <charset val="204"/>
      <scheme val="minor"/>
    </font>
    <font>
      <b/>
      <sz val="11"/>
      <color theme="0" tint="-0.34998626667073579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2" fillId="0" borderId="0" xfId="0" applyFont="1" applyAlignment="1"/>
    <xf numFmtId="0" fontId="1" fillId="0" borderId="0" xfId="0" applyFont="1"/>
    <xf numFmtId="0" fontId="1" fillId="2" borderId="1" xfId="0" applyFont="1" applyFill="1" applyBorder="1"/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1" xfId="0" applyNumberFormat="1" applyBorder="1"/>
    <xf numFmtId="0" fontId="6" fillId="2" borderId="1" xfId="0" applyFont="1" applyFill="1" applyBorder="1"/>
    <xf numFmtId="49" fontId="2" fillId="0" borderId="1" xfId="0" applyNumberFormat="1" applyFont="1" applyBorder="1"/>
    <xf numFmtId="14" fontId="0" fillId="0" borderId="1" xfId="0" applyNumberFormat="1" applyBorder="1"/>
    <xf numFmtId="0" fontId="0" fillId="3" borderId="0" xfId="0" applyFill="1" applyAlignment="1">
      <alignment vertical="center"/>
    </xf>
    <xf numFmtId="0" fontId="7" fillId="0" borderId="1" xfId="1" applyBorder="1"/>
    <xf numFmtId="0" fontId="7" fillId="2" borderId="1" xfId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Регионы с наибольшим количеством зарегистрированных доноров - Топ-10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'1_Регионы'!$A$5:$A$14</c:f>
              <c:strCache>
                <c:ptCount val="10"/>
                <c:pt idx="0">
                  <c:v>-</c:v>
                </c:pt>
                <c:pt idx="1">
                  <c:v>Россия, Москва</c:v>
                </c:pt>
                <c:pt idx="2">
                  <c:v>Россия, Санкт-Петербург</c:v>
                </c:pt>
                <c:pt idx="3">
                  <c:v>Россия, Татарстан, Казань</c:v>
                </c:pt>
                <c:pt idx="4">
                  <c:v>Украина, Киевская область, Киев</c:v>
                </c:pt>
                <c:pt idx="5">
                  <c:v>Россия, Новосибирская область, Новосибирск</c:v>
                </c:pt>
                <c:pt idx="6">
                  <c:v>Россия, Свердловская область, Екатеринбург</c:v>
                </c:pt>
                <c:pt idx="7">
                  <c:v>Россия, Башкортостан, Уфа</c:v>
                </c:pt>
                <c:pt idx="8">
                  <c:v>Россия, Красноярский край, Красноярск</c:v>
                </c:pt>
                <c:pt idx="9">
                  <c:v>Россия, Краснодарский край, Краснодар</c:v>
                </c:pt>
              </c:strCache>
            </c:strRef>
          </c:cat>
          <c:val>
            <c:numRef>
              <c:f>'1_Регионы'!$B$5:$B$14</c:f>
              <c:numCache>
                <c:formatCode>General</c:formatCode>
                <c:ptCount val="10"/>
                <c:pt idx="0">
                  <c:v>100574</c:v>
                </c:pt>
                <c:pt idx="1">
                  <c:v>37819</c:v>
                </c:pt>
                <c:pt idx="2">
                  <c:v>13137</c:v>
                </c:pt>
                <c:pt idx="3">
                  <c:v>6610</c:v>
                </c:pt>
                <c:pt idx="4">
                  <c:v>3541</c:v>
                </c:pt>
                <c:pt idx="5">
                  <c:v>3310</c:v>
                </c:pt>
                <c:pt idx="6">
                  <c:v>3082</c:v>
                </c:pt>
                <c:pt idx="7">
                  <c:v>3014</c:v>
                </c:pt>
                <c:pt idx="8">
                  <c:v>2346</c:v>
                </c:pt>
                <c:pt idx="9">
                  <c:v>2186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C-4DBF-A1E7-6BB7EB758B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18820399"/>
        <c:axId val="1818842479"/>
      </c:barChart>
      <c:catAx>
        <c:axId val="18188203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8842479"/>
        <c:crosses val="autoZero"/>
        <c:auto val="1"/>
        <c:lblAlgn val="ctr"/>
        <c:lblOffset val="100"/>
        <c:noMultiLvlLbl val="0"/>
      </c:catAx>
      <c:valAx>
        <c:axId val="18188424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882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общего количества донаций в месяц за 2022 и 2023 г.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'2_Динамика_донаций'!$B$4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'2_Динамика_донаций'!$A$5:$A$16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'2_Динамика_донаций'!$B$5:$B$16</c:f>
              <c:numCache>
                <c:formatCode>General</c:formatCode>
                <c:ptCount val="12"/>
                <c:pt idx="0">
                  <c:v>1977</c:v>
                </c:pt>
                <c:pt idx="1">
                  <c:v>2109</c:v>
                </c:pt>
                <c:pt idx="2">
                  <c:v>3002</c:v>
                </c:pt>
                <c:pt idx="3">
                  <c:v>3223</c:v>
                </c:pt>
                <c:pt idx="4">
                  <c:v>2414</c:v>
                </c:pt>
                <c:pt idx="5">
                  <c:v>2792</c:v>
                </c:pt>
                <c:pt idx="6">
                  <c:v>2836</c:v>
                </c:pt>
                <c:pt idx="7">
                  <c:v>2987</c:v>
                </c:pt>
                <c:pt idx="8">
                  <c:v>3089</c:v>
                </c:pt>
                <c:pt idx="9">
                  <c:v>3265</c:v>
                </c:pt>
                <c:pt idx="10">
                  <c:v>3156</c:v>
                </c:pt>
                <c:pt idx="11">
                  <c:v>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4-4A8A-AC93-563F07D1132B}"/>
            </c:ext>
          </c:extLst>
        </c:ser>
        <c:ser>
          <c:idx val="1"/>
          <c:order val="1"/>
          <c:tx>
            <c:strRef>
              <c:f>'2_Динамика_донаций'!$C$4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'2_Динамика_донаций'!$A$5:$A$16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'2_Динамика_донаций'!$C$5:$C$16</c:f>
              <c:numCache>
                <c:formatCode>General</c:formatCode>
                <c:ptCount val="12"/>
                <c:pt idx="0">
                  <c:v>2795</c:v>
                </c:pt>
                <c:pt idx="1">
                  <c:v>3056</c:v>
                </c:pt>
                <c:pt idx="2">
                  <c:v>3523</c:v>
                </c:pt>
                <c:pt idx="3">
                  <c:v>2951</c:v>
                </c:pt>
                <c:pt idx="4">
                  <c:v>2568</c:v>
                </c:pt>
                <c:pt idx="5">
                  <c:v>2651</c:v>
                </c:pt>
                <c:pt idx="6">
                  <c:v>2276</c:v>
                </c:pt>
                <c:pt idx="7">
                  <c:v>2433</c:v>
                </c:pt>
                <c:pt idx="8">
                  <c:v>2240</c:v>
                </c:pt>
                <c:pt idx="9">
                  <c:v>2117</c:v>
                </c:pt>
                <c:pt idx="10">
                  <c:v>1509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4-4A8A-AC93-563F07D11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603663"/>
        <c:axId val="1691573423"/>
      </c:lineChart>
      <c:catAx>
        <c:axId val="169160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573423"/>
        <c:crosses val="autoZero"/>
        <c:auto val="1"/>
        <c:lblAlgn val="ctr"/>
        <c:lblOffset val="100"/>
        <c:noMultiLvlLbl val="0"/>
      </c:catAx>
      <c:valAx>
        <c:axId val="16915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60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Наиболее активные доноры в системе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в соотношении с общим </a:t>
            </a:r>
          </a:p>
          <a:p>
            <a:pPr>
              <a:defRPr/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периодом донорства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Топ-10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'3_Активные_доноры'!$C$4</c:f>
              <c:strCache>
                <c:ptCount val="1"/>
                <c:pt idx="0">
                  <c:v>donation_period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'3_Активные_доноры'!$C$5:$C$14</c:f>
              <c:numCache>
                <c:formatCode>General</c:formatCode>
                <c:ptCount val="10"/>
                <c:pt idx="0">
                  <c:v>48</c:v>
                </c:pt>
                <c:pt idx="1">
                  <c:v>18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27</c:v>
                </c:pt>
                <c:pt idx="6">
                  <c:v>14</c:v>
                </c:pt>
                <c:pt idx="7">
                  <c:v>18</c:v>
                </c:pt>
                <c:pt idx="8">
                  <c:v>19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E-4175-B08B-45BCECF94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61759"/>
        <c:axId val="40348319"/>
      </c:areaChart>
      <c:barChart>
        <c:barDir val="col"/>
        <c:grouping val="clustered"/>
        <c:varyColors val="0"/>
        <c:ser>
          <c:idx val="1"/>
          <c:order val="1"/>
          <c:tx>
            <c:strRef>
              <c:f>'3_Активные_доноры'!$D$4</c:f>
              <c:strCache>
                <c:ptCount val="1"/>
                <c:pt idx="0">
                  <c:v>cnt_donations_all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'3_Активные_доноры'!$D$5:$D$14</c:f>
              <c:numCache>
                <c:formatCode>General</c:formatCode>
                <c:ptCount val="10"/>
                <c:pt idx="0">
                  <c:v>361</c:v>
                </c:pt>
                <c:pt idx="1">
                  <c:v>256</c:v>
                </c:pt>
                <c:pt idx="2">
                  <c:v>236</c:v>
                </c:pt>
                <c:pt idx="3">
                  <c:v>236</c:v>
                </c:pt>
                <c:pt idx="4">
                  <c:v>227</c:v>
                </c:pt>
                <c:pt idx="5">
                  <c:v>217</c:v>
                </c:pt>
                <c:pt idx="6">
                  <c:v>217</c:v>
                </c:pt>
                <c:pt idx="7">
                  <c:v>216</c:v>
                </c:pt>
                <c:pt idx="8">
                  <c:v>213</c:v>
                </c:pt>
                <c:pt idx="9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E-4175-B08B-45BCECF94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7839"/>
        <c:axId val="40342559"/>
      </c:barChart>
      <c:catAx>
        <c:axId val="40347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42559"/>
        <c:crosses val="autoZero"/>
        <c:auto val="1"/>
        <c:lblAlgn val="ctr"/>
        <c:lblOffset val="100"/>
        <c:noMultiLvlLbl val="0"/>
      </c:catAx>
      <c:valAx>
        <c:axId val="4034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47839"/>
        <c:crosses val="autoZero"/>
        <c:crossBetween val="between"/>
      </c:valAx>
      <c:valAx>
        <c:axId val="403483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61759"/>
        <c:crosses val="max"/>
        <c:crossBetween val="between"/>
      </c:valAx>
      <c:catAx>
        <c:axId val="40361759"/>
        <c:scaling>
          <c:orientation val="minMax"/>
        </c:scaling>
        <c:delete val="1"/>
        <c:axPos val="b"/>
        <c:majorTickMark val="out"/>
        <c:minorTickMark val="none"/>
        <c:tickLblPos val="nextTo"/>
        <c:crossAx val="403483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Влияние</a:t>
            </a:r>
            <a:r>
              <a:rPr lang="ru-RU" baseline="0"/>
              <a:t> </a:t>
            </a:r>
            <a:r>
              <a:rPr lang="ru-RU"/>
              <a:t>системы бонусов</a:t>
            </a:r>
            <a:r>
              <a:rPr lang="ru-RU" baseline="0"/>
              <a:t> </a:t>
            </a:r>
            <a:r>
              <a:rPr lang="ru-RU"/>
              <a:t>на кол-во доноров,</a:t>
            </a:r>
            <a:r>
              <a:rPr lang="ru-RU" baseline="0"/>
              <a:t> зарегстрировавших донации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'4_Бонусы'!$B$4</c:f>
              <c:strCache>
                <c:ptCount val="1"/>
                <c:pt idx="0">
                  <c:v>cnt_donors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'4_Бонусы'!$A$5:$A$24</c:f>
              <c:strCache>
                <c:ptCount val="20"/>
                <c:pt idx="0">
                  <c:v>Farfor: Пицца бесплатно на Farfor.ru</c:v>
                </c:pt>
                <c:pt idx="1">
                  <c:v>Яндекс Плюс: 2 месяца подписки Яндекс Плюс бесплатно</c:v>
                </c:pt>
                <c:pt idx="2">
                  <c:v>Ozon: Подписка Ozon Premium на 1 месяц</c:v>
                </c:pt>
                <c:pt idx="3">
                  <c:v>Другое Дело: 6000 баллов на платформе Другое Дело</c:v>
                </c:pt>
                <c:pt idx="4">
                  <c:v>More.TV: 45 дней подписки в подарок</c:v>
                </c:pt>
                <c:pt idx="5">
                  <c:v>Самокат: Скидка 20% на товары бренда Самокат</c:v>
                </c:pt>
                <c:pt idx="6">
                  <c:v>Lamoda: -15% на товары</c:v>
                </c:pt>
                <c:pt idx="7">
                  <c:v>Литрес: Бесплатные книги и скидка 20% в Литрес</c:v>
                </c:pt>
                <c:pt idx="8">
                  <c:v>Flowwow: Скидка 15% на весь ассортимент Flowwow</c:v>
                </c:pt>
                <c:pt idx="9">
                  <c:v>МИФ: Книга в подарок - Заряжен на 100%</c:v>
                </c:pt>
                <c:pt idx="10">
                  <c:v>Литрес: DonorSearch и Литрес дарят подарки!</c:v>
                </c:pt>
                <c:pt idx="11">
                  <c:v>МИФ: Книга в подарок - Не сходите с ума на работе</c:v>
                </c:pt>
                <c:pt idx="12">
                  <c:v>МИФ: Книга от МИФ "Заряжен на 100%" - в подарок</c:v>
                </c:pt>
                <c:pt idx="13">
                  <c:v>МТС Premium: Подписка МТС Premium на 60 дней</c:v>
                </c:pt>
                <c:pt idx="14">
                  <c:v>МИФ: Книга от МИФ "Почему мы ошибаемся" в подарок</c:v>
                </c:pt>
                <c:pt idx="15">
                  <c:v>МИФ: Книга от МИФ "Лучше с каждым днем" - в подарок</c:v>
                </c:pt>
                <c:pt idx="16">
                  <c:v>Tasty Coffee: 15% скидки в Tasty Coffee</c:v>
                </c:pt>
                <c:pt idx="17">
                  <c:v>Utair: 250 миль от Utair</c:v>
                </c:pt>
                <c:pt idx="18">
                  <c:v>Подписка Газпром Бонус: Подписка Газпром Бонус</c:v>
                </c:pt>
                <c:pt idx="19">
                  <c:v>Hobby Games: 500 бонусных рублей на настольные игры</c:v>
                </c:pt>
              </c:strCache>
            </c:strRef>
          </c:cat>
          <c:val>
            <c:numRef>
              <c:f>'4_Бонусы'!$B$5:$B$24</c:f>
              <c:numCache>
                <c:formatCode>General</c:formatCode>
                <c:ptCount val="20"/>
                <c:pt idx="0">
                  <c:v>4586</c:v>
                </c:pt>
                <c:pt idx="1">
                  <c:v>2766</c:v>
                </c:pt>
                <c:pt idx="2">
                  <c:v>1675</c:v>
                </c:pt>
                <c:pt idx="3">
                  <c:v>1315</c:v>
                </c:pt>
                <c:pt idx="4">
                  <c:v>995</c:v>
                </c:pt>
                <c:pt idx="5">
                  <c:v>596</c:v>
                </c:pt>
                <c:pt idx="6">
                  <c:v>485</c:v>
                </c:pt>
                <c:pt idx="7">
                  <c:v>458</c:v>
                </c:pt>
                <c:pt idx="8">
                  <c:v>352</c:v>
                </c:pt>
                <c:pt idx="9">
                  <c:v>337</c:v>
                </c:pt>
                <c:pt idx="10">
                  <c:v>287</c:v>
                </c:pt>
                <c:pt idx="11">
                  <c:v>243</c:v>
                </c:pt>
                <c:pt idx="12">
                  <c:v>230</c:v>
                </c:pt>
                <c:pt idx="13">
                  <c:v>230</c:v>
                </c:pt>
                <c:pt idx="14">
                  <c:v>228</c:v>
                </c:pt>
                <c:pt idx="15">
                  <c:v>214</c:v>
                </c:pt>
                <c:pt idx="16">
                  <c:v>199</c:v>
                </c:pt>
                <c:pt idx="17">
                  <c:v>196</c:v>
                </c:pt>
                <c:pt idx="18">
                  <c:v>194</c:v>
                </c:pt>
                <c:pt idx="19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B-48E5-AC54-7C6849A95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1593583"/>
        <c:axId val="1691593103"/>
      </c:barChart>
      <c:catAx>
        <c:axId val="16915935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593103"/>
        <c:crosses val="autoZero"/>
        <c:auto val="1"/>
        <c:lblAlgn val="ctr"/>
        <c:lblOffset val="100"/>
        <c:noMultiLvlLbl val="0"/>
      </c:catAx>
      <c:valAx>
        <c:axId val="16915931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59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Соотношение кол-ва доноров и среднего</a:t>
            </a:r>
            <a:r>
              <a:rPr lang="ru-RU" baseline="0"/>
              <a:t> кол-ва донаций - по каналам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'5_Соцсети'!$B$4</c:f>
              <c:strCache>
                <c:ptCount val="1"/>
                <c:pt idx="0">
                  <c:v>cnt_donors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'5_Соцсети'!$A$5:$A$9</c:f>
              <c:strCache>
                <c:ptCount val="5"/>
                <c:pt idx="0">
                  <c:v>vk</c:v>
                </c:pt>
                <c:pt idx="1">
                  <c:v>google</c:v>
                </c:pt>
                <c:pt idx="2">
                  <c:v>ok</c:v>
                </c:pt>
                <c:pt idx="3">
                  <c:v>yandex</c:v>
                </c:pt>
                <c:pt idx="4">
                  <c:v>tg</c:v>
                </c:pt>
              </c:strCache>
            </c:strRef>
          </c:cat>
          <c:val>
            <c:numRef>
              <c:f>'5_Соцсети'!$B$5:$B$9</c:f>
              <c:numCache>
                <c:formatCode>General</c:formatCode>
                <c:ptCount val="5"/>
                <c:pt idx="0">
                  <c:v>127254</c:v>
                </c:pt>
                <c:pt idx="1">
                  <c:v>16485</c:v>
                </c:pt>
                <c:pt idx="2">
                  <c:v>7766</c:v>
                </c:pt>
                <c:pt idx="3">
                  <c:v>5170</c:v>
                </c:pt>
                <c:pt idx="4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3-458C-9354-01DEBBD29C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331039"/>
        <c:axId val="40309919"/>
      </c:barChart>
      <c:lineChart>
        <c:grouping val="standard"/>
        <c:varyColors val="0"/>
        <c:ser>
          <c:idx val="1"/>
          <c:order val="1"/>
          <c:tx>
            <c:strRef>
              <c:f>'5_Соцсети'!$C$4</c:f>
              <c:strCache>
                <c:ptCount val="1"/>
                <c:pt idx="0">
                  <c:v>avg_donations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'5_Соцсети'!$A$5:$A$9</c:f>
              <c:strCache>
                <c:ptCount val="5"/>
                <c:pt idx="0">
                  <c:v>vk</c:v>
                </c:pt>
                <c:pt idx="1">
                  <c:v>google</c:v>
                </c:pt>
                <c:pt idx="2">
                  <c:v>ok</c:v>
                </c:pt>
                <c:pt idx="3">
                  <c:v>yandex</c:v>
                </c:pt>
                <c:pt idx="4">
                  <c:v>tg</c:v>
                </c:pt>
              </c:strCache>
            </c:strRef>
          </c:cat>
          <c:val>
            <c:numRef>
              <c:f>'5_Соцсети'!$C$5:$C$9</c:f>
              <c:numCache>
                <c:formatCode>General</c:formatCode>
                <c:ptCount val="5"/>
                <c:pt idx="0">
                  <c:v>100466.77</c:v>
                </c:pt>
                <c:pt idx="1">
                  <c:v>154346.42000000001</c:v>
                </c:pt>
                <c:pt idx="2">
                  <c:v>89563.81</c:v>
                </c:pt>
                <c:pt idx="3">
                  <c:v>150093.01999999999</c:v>
                </c:pt>
                <c:pt idx="4">
                  <c:v>70747.66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3-458C-9354-01DEBBD29C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317599"/>
        <c:axId val="40328159"/>
      </c:lineChart>
      <c:catAx>
        <c:axId val="4033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09919"/>
        <c:crosses val="autoZero"/>
        <c:auto val="1"/>
        <c:lblAlgn val="ctr"/>
        <c:lblOffset val="100"/>
        <c:noMultiLvlLbl val="0"/>
      </c:catAx>
      <c:valAx>
        <c:axId val="403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31039"/>
        <c:crosses val="autoZero"/>
        <c:crossBetween val="between"/>
      </c:valAx>
      <c:valAx>
        <c:axId val="403281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17599"/>
        <c:crosses val="max"/>
        <c:crossBetween val="between"/>
      </c:valAx>
      <c:catAx>
        <c:axId val="4031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3281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Соотношение</a:t>
            </a:r>
            <a:r>
              <a:rPr lang="ru-RU" baseline="0"/>
              <a:t> планируемых и фактических донаций - 2022-2023 гг.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'7_План_vs_факт'!$B$7</c:f>
              <c:strCache>
                <c:ptCount val="1"/>
                <c:pt idx="0">
                  <c:v>cnt_donation_plan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'7_План_vs_факт'!$A$8:$A$30</c:f>
              <c:numCache>
                <c:formatCode>m/d/yyyy</c:formatCode>
                <c:ptCount val="2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</c:numCache>
            </c:numRef>
          </c:cat>
          <c:val>
            <c:numRef>
              <c:f>'7_План_vs_факт'!$B$8:$B$30</c:f>
              <c:numCache>
                <c:formatCode>General</c:formatCode>
                <c:ptCount val="23"/>
                <c:pt idx="0">
                  <c:v>144</c:v>
                </c:pt>
                <c:pt idx="1">
                  <c:v>154</c:v>
                </c:pt>
                <c:pt idx="2">
                  <c:v>186</c:v>
                </c:pt>
                <c:pt idx="3">
                  <c:v>272</c:v>
                </c:pt>
                <c:pt idx="4">
                  <c:v>228</c:v>
                </c:pt>
                <c:pt idx="5">
                  <c:v>301</c:v>
                </c:pt>
                <c:pt idx="6">
                  <c:v>248</c:v>
                </c:pt>
                <c:pt idx="7">
                  <c:v>292</c:v>
                </c:pt>
                <c:pt idx="8">
                  <c:v>325</c:v>
                </c:pt>
                <c:pt idx="9">
                  <c:v>367</c:v>
                </c:pt>
                <c:pt idx="10">
                  <c:v>372</c:v>
                </c:pt>
                <c:pt idx="11">
                  <c:v>437</c:v>
                </c:pt>
                <c:pt idx="12">
                  <c:v>364</c:v>
                </c:pt>
                <c:pt idx="13">
                  <c:v>426</c:v>
                </c:pt>
                <c:pt idx="14">
                  <c:v>480</c:v>
                </c:pt>
                <c:pt idx="15">
                  <c:v>458</c:v>
                </c:pt>
                <c:pt idx="16">
                  <c:v>373</c:v>
                </c:pt>
                <c:pt idx="17">
                  <c:v>395</c:v>
                </c:pt>
                <c:pt idx="18">
                  <c:v>328</c:v>
                </c:pt>
                <c:pt idx="19">
                  <c:v>379</c:v>
                </c:pt>
                <c:pt idx="20">
                  <c:v>375</c:v>
                </c:pt>
                <c:pt idx="21">
                  <c:v>353</c:v>
                </c:pt>
                <c:pt idx="22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E-41C5-95D5-DFD62602DC90}"/>
            </c:ext>
          </c:extLst>
        </c:ser>
        <c:ser>
          <c:idx val="1"/>
          <c:order val="1"/>
          <c:tx>
            <c:strRef>
              <c:f>'7_План_vs_факт'!$C$7</c:f>
              <c:strCache>
                <c:ptCount val="1"/>
                <c:pt idx="0">
                  <c:v>cnt_donation_fact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'7_План_vs_факт'!$A$8:$A$30</c:f>
              <c:numCache>
                <c:formatCode>m/d/yyyy</c:formatCode>
                <c:ptCount val="2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</c:numCache>
            </c:numRef>
          </c:cat>
          <c:val>
            <c:numRef>
              <c:f>'7_План_vs_факт'!$C$8:$C$30</c:f>
              <c:numCache>
                <c:formatCode>General</c:formatCode>
                <c:ptCount val="23"/>
                <c:pt idx="0">
                  <c:v>1977</c:v>
                </c:pt>
                <c:pt idx="1">
                  <c:v>2109</c:v>
                </c:pt>
                <c:pt idx="2">
                  <c:v>3002</c:v>
                </c:pt>
                <c:pt idx="3">
                  <c:v>3223</c:v>
                </c:pt>
                <c:pt idx="4">
                  <c:v>2414</c:v>
                </c:pt>
                <c:pt idx="5">
                  <c:v>2792</c:v>
                </c:pt>
                <c:pt idx="6">
                  <c:v>2836</c:v>
                </c:pt>
                <c:pt idx="7">
                  <c:v>2987</c:v>
                </c:pt>
                <c:pt idx="8">
                  <c:v>3089</c:v>
                </c:pt>
                <c:pt idx="9">
                  <c:v>3265</c:v>
                </c:pt>
                <c:pt idx="10">
                  <c:v>3156</c:v>
                </c:pt>
                <c:pt idx="11">
                  <c:v>3303</c:v>
                </c:pt>
                <c:pt idx="12">
                  <c:v>2795</c:v>
                </c:pt>
                <c:pt idx="13">
                  <c:v>3056</c:v>
                </c:pt>
                <c:pt idx="14">
                  <c:v>3523</c:v>
                </c:pt>
                <c:pt idx="15">
                  <c:v>2951</c:v>
                </c:pt>
                <c:pt idx="16">
                  <c:v>2568</c:v>
                </c:pt>
                <c:pt idx="17">
                  <c:v>2651</c:v>
                </c:pt>
                <c:pt idx="18">
                  <c:v>2276</c:v>
                </c:pt>
                <c:pt idx="19">
                  <c:v>2433</c:v>
                </c:pt>
                <c:pt idx="20">
                  <c:v>2240</c:v>
                </c:pt>
                <c:pt idx="21">
                  <c:v>2117</c:v>
                </c:pt>
                <c:pt idx="22">
                  <c:v>1509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E-41C5-95D5-DFD62602DC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0362719"/>
        <c:axId val="40370879"/>
      </c:barChart>
      <c:dateAx>
        <c:axId val="403627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70879"/>
        <c:crosses val="autoZero"/>
        <c:auto val="1"/>
        <c:lblOffset val="100"/>
        <c:baseTimeUnit val="months"/>
      </c:dateAx>
      <c:valAx>
        <c:axId val="403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6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процента запланированных</a:t>
            </a:r>
            <a:r>
              <a:rPr lang="ru-RU" baseline="0"/>
              <a:t> донаций от фактического их количества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'7_План_vs_факт'!$D$7</c:f>
              <c:strCache>
                <c:ptCount val="1"/>
                <c:pt idx="0">
                  <c:v>percent_plan_fact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'7_План_vs_факт'!$A$8:$A$30</c:f>
              <c:numCache>
                <c:formatCode>m/d/yyyy</c:formatCode>
                <c:ptCount val="2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</c:numCache>
            </c:numRef>
          </c:cat>
          <c:val>
            <c:numRef>
              <c:f>'7_План_vs_факт'!$D$8:$D$30</c:f>
              <c:numCache>
                <c:formatCode>General</c:formatCode>
                <c:ptCount val="23"/>
                <c:pt idx="0">
                  <c:v>7.28</c:v>
                </c:pt>
                <c:pt idx="1">
                  <c:v>7.3</c:v>
                </c:pt>
                <c:pt idx="2">
                  <c:v>6.2</c:v>
                </c:pt>
                <c:pt idx="3">
                  <c:v>8.44</c:v>
                </c:pt>
                <c:pt idx="4">
                  <c:v>9.44</c:v>
                </c:pt>
                <c:pt idx="5">
                  <c:v>10.78</c:v>
                </c:pt>
                <c:pt idx="6">
                  <c:v>8.74</c:v>
                </c:pt>
                <c:pt idx="7">
                  <c:v>9.7799999999999994</c:v>
                </c:pt>
                <c:pt idx="8">
                  <c:v>10.52</c:v>
                </c:pt>
                <c:pt idx="9">
                  <c:v>11.24</c:v>
                </c:pt>
                <c:pt idx="10">
                  <c:v>11.79</c:v>
                </c:pt>
                <c:pt idx="11">
                  <c:v>13.23</c:v>
                </c:pt>
                <c:pt idx="12">
                  <c:v>13.02</c:v>
                </c:pt>
                <c:pt idx="13">
                  <c:v>13.94</c:v>
                </c:pt>
                <c:pt idx="14">
                  <c:v>13.62</c:v>
                </c:pt>
                <c:pt idx="15">
                  <c:v>15.52</c:v>
                </c:pt>
                <c:pt idx="16">
                  <c:v>14.52</c:v>
                </c:pt>
                <c:pt idx="17">
                  <c:v>14.9</c:v>
                </c:pt>
                <c:pt idx="18">
                  <c:v>14.41</c:v>
                </c:pt>
                <c:pt idx="19">
                  <c:v>15.58</c:v>
                </c:pt>
                <c:pt idx="20">
                  <c:v>16.739999999999998</c:v>
                </c:pt>
                <c:pt idx="21">
                  <c:v>16.670000000000002</c:v>
                </c:pt>
                <c:pt idx="22">
                  <c:v>14.38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5-4F73-A907-FAFDE5FC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08959"/>
        <c:axId val="40316159"/>
      </c:lineChart>
      <c:dateAx>
        <c:axId val="403089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16159"/>
        <c:crosses val="autoZero"/>
        <c:auto val="1"/>
        <c:lblOffset val="100"/>
        <c:baseTimeUnit val="months"/>
      </c:dateAx>
      <c:valAx>
        <c:axId val="403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30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0</xdr:row>
      <xdr:rowOff>12700</xdr:rowOff>
    </xdr:from>
    <xdr:to>
      <xdr:col>13</xdr:col>
      <xdr:colOff>323849</xdr:colOff>
      <xdr:row>15</xdr:row>
      <xdr:rowOff>177800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E429FE0-4AC8-ECA7-4002-44FCD4125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593724</xdr:colOff>
      <xdr:row>3</xdr:row>
      <xdr:rowOff>25406</xdr:rowOff>
    </xdr:from>
    <xdr:to>
      <xdr:col>17</xdr:col>
      <xdr:colOff>609599</xdr:colOff>
      <xdr:row>15</xdr:row>
      <xdr:rowOff>177800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BD95424-FA1E-FAA0-581B-F0D5A421F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177800</xdr:colOff>
      <xdr:row>3</xdr:row>
      <xdr:rowOff>0</xdr:rowOff>
    </xdr:from>
    <xdr:to>
      <xdr:col>16</xdr:col>
      <xdr:colOff>514350</xdr:colOff>
      <xdr:row>17</xdr:row>
      <xdr:rowOff>165100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0B66E33-FD66-6CC3-1256-C1E06558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606424</xdr:colOff>
      <xdr:row>3</xdr:row>
      <xdr:rowOff>6350</xdr:rowOff>
    </xdr:from>
    <xdr:to>
      <xdr:col>14</xdr:col>
      <xdr:colOff>6349</xdr:colOff>
      <xdr:row>24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2EA679-FB1C-EFF4-41FB-1283CB961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12700</xdr:rowOff>
    </xdr:from>
    <xdr:to>
      <xdr:col>9</xdr:col>
      <xdr:colOff>22226</xdr:colOff>
      <xdr:row>26</xdr:row>
      <xdr:rowOff>6350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4630AA-9CFD-5F86-8EED-3495E1C33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212724</xdr:colOff>
      <xdr:row>5</xdr:row>
      <xdr:rowOff>177800</xdr:rowOff>
    </xdr:from>
    <xdr:to>
      <xdr:col>15</xdr:col>
      <xdr:colOff>361950</xdr:colOff>
      <xdr:row>20</xdr:row>
      <xdr:rowOff>158750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EBEACD3-04F5-6C6D-5E7C-CC9FFFAFD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200025</xdr:colOff>
      <xdr:row>21</xdr:row>
      <xdr:rowOff>88900</xdr:rowOff>
    </xdr:from>
    <xdr:to>
      <xdr:col>15</xdr:col>
      <xdr:colOff>355601</xdr:colOff>
      <xdr:row>32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18DBEDE-6E3B-4D27-085C-EAE7A873A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0D6E-56A8-492C-B2E7-A2DBCB317E6C}">
  <dimension ref="A2:C9"/>
  <sheetViews>
    <sheetView workbookViewId="0"/>
  </sheetViews>
  <sheetFormatPr defaultRowHeight="14.5" x14ac:dyDescent="0.35"/>
  <cols>
    <col min="2" max="2" width="18.7265625" bestFit="1" customWidth="1"/>
    <col min="3" max="3" width="39.6328125" bestFit="1" customWidth="1"/>
  </cols>
  <sheetData>
    <row r="2" spans="1:3" x14ac:dyDescent="0.35">
      <c r="A2" s="5" t="s">
        <v>133</v>
      </c>
      <c r="B2" s="5" t="s">
        <v>134</v>
      </c>
      <c r="C2" s="5" t="s">
        <v>135</v>
      </c>
    </row>
    <row r="3" spans="1:3" x14ac:dyDescent="0.35">
      <c r="A3" s="1">
        <v>1</v>
      </c>
      <c r="B3" s="13" t="s">
        <v>136</v>
      </c>
      <c r="C3" s="1" t="s">
        <v>137</v>
      </c>
    </row>
    <row r="4" spans="1:3" x14ac:dyDescent="0.35">
      <c r="A4" s="1">
        <v>2</v>
      </c>
      <c r="B4" s="13" t="s">
        <v>147</v>
      </c>
      <c r="C4" s="1" t="s">
        <v>138</v>
      </c>
    </row>
    <row r="5" spans="1:3" x14ac:dyDescent="0.35">
      <c r="A5" s="1">
        <v>3</v>
      </c>
      <c r="B5" s="13" t="s">
        <v>139</v>
      </c>
      <c r="C5" s="1" t="s">
        <v>140</v>
      </c>
    </row>
    <row r="6" spans="1:3" x14ac:dyDescent="0.35">
      <c r="A6" s="1">
        <v>4</v>
      </c>
      <c r="B6" s="13" t="s">
        <v>141</v>
      </c>
      <c r="C6" s="1" t="s">
        <v>142</v>
      </c>
    </row>
    <row r="7" spans="1:3" x14ac:dyDescent="0.35">
      <c r="A7" s="1">
        <v>5</v>
      </c>
      <c r="B7" s="13" t="s">
        <v>143</v>
      </c>
      <c r="C7" s="1" t="s">
        <v>144</v>
      </c>
    </row>
    <row r="8" spans="1:3" x14ac:dyDescent="0.35">
      <c r="A8" s="1">
        <v>6</v>
      </c>
      <c r="B8" s="13" t="s">
        <v>145</v>
      </c>
      <c r="C8" s="1" t="s">
        <v>146</v>
      </c>
    </row>
    <row r="9" spans="1:3" x14ac:dyDescent="0.35">
      <c r="A9" s="1">
        <v>7</v>
      </c>
      <c r="B9" s="13" t="s">
        <v>148</v>
      </c>
      <c r="C9" s="1" t="s">
        <v>149</v>
      </c>
    </row>
  </sheetData>
  <hyperlinks>
    <hyperlink ref="B3" location="'1_Регионы'!A1" display="1_Регионы" xr:uid="{575D792D-628C-41D9-B657-EA6D62000680}"/>
    <hyperlink ref="B4" location="'2_Динамика_донаций'!A1" display="2_Динамика_донаций" xr:uid="{24C10836-2250-483B-B455-4C8B29537138}"/>
    <hyperlink ref="B5" location="'3_Активные_доноры'!A1" display="3_Активные доноры" xr:uid="{674B46D1-BCC0-46A9-A412-42651FA9F421}"/>
    <hyperlink ref="B6" location="'4_Бонусы'!A1" display="4_Бонусы" xr:uid="{1083F909-BAEB-4843-AA68-F1EAA286D121}"/>
    <hyperlink ref="B7" location="'5_Соцсети'!A1" display="5_Соцсети" xr:uid="{15159005-5136-44A3-8C2C-5124310AE694}"/>
    <hyperlink ref="B8" location="'6_Retention'!A1" display="6_Retention" xr:uid="{7326C4BE-6660-48E3-B099-EAF7484DBC14}"/>
    <hyperlink ref="B9" location="'7_План_vs_факт'!A1" display="7_План_vs_факт" xr:uid="{C76235A9-8BFF-4AB7-BDE2-175963CB7B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65FF-90D6-4A7C-9E48-945CF617EBF6}">
  <dimension ref="A1:C23"/>
  <sheetViews>
    <sheetView tabSelected="1" workbookViewId="0">
      <selection activeCell="C22" sqref="C22"/>
    </sheetView>
  </sheetViews>
  <sheetFormatPr defaultRowHeight="14.5" x14ac:dyDescent="0.35"/>
  <cols>
    <col min="1" max="1" width="41.54296875" customWidth="1"/>
    <col min="2" max="2" width="14" bestFit="1" customWidth="1"/>
    <col min="3" max="3" width="15.81640625" bestFit="1" customWidth="1"/>
  </cols>
  <sheetData>
    <row r="1" spans="1:3" x14ac:dyDescent="0.35">
      <c r="A1" s="4" t="s">
        <v>12</v>
      </c>
    </row>
    <row r="2" spans="1:3" x14ac:dyDescent="0.35">
      <c r="A2" s="3" t="s">
        <v>16</v>
      </c>
    </row>
    <row r="4" spans="1:3" x14ac:dyDescent="0.35">
      <c r="A4" s="5" t="s">
        <v>9</v>
      </c>
      <c r="B4" s="5" t="s">
        <v>10</v>
      </c>
      <c r="C4" s="5" t="s">
        <v>11</v>
      </c>
    </row>
    <row r="5" spans="1:3" x14ac:dyDescent="0.35">
      <c r="A5" s="1" t="s">
        <v>13</v>
      </c>
      <c r="B5" s="1">
        <v>100574</v>
      </c>
      <c r="C5" s="8">
        <v>37.83</v>
      </c>
    </row>
    <row r="6" spans="1:3" x14ac:dyDescent="0.35">
      <c r="A6" s="1" t="s">
        <v>0</v>
      </c>
      <c r="B6" s="1">
        <v>37819</v>
      </c>
      <c r="C6" s="8">
        <v>14.23</v>
      </c>
    </row>
    <row r="7" spans="1:3" x14ac:dyDescent="0.35">
      <c r="A7" s="1" t="s">
        <v>1</v>
      </c>
      <c r="B7" s="1">
        <v>13137</v>
      </c>
      <c r="C7" s="8">
        <v>4.9400000000000004</v>
      </c>
    </row>
    <row r="8" spans="1:3" x14ac:dyDescent="0.35">
      <c r="A8" s="1" t="s">
        <v>2</v>
      </c>
      <c r="B8" s="1">
        <v>6610</v>
      </c>
      <c r="C8" s="8">
        <v>2.4900000000000002</v>
      </c>
    </row>
    <row r="9" spans="1:3" x14ac:dyDescent="0.35">
      <c r="A9" s="1" t="s">
        <v>3</v>
      </c>
      <c r="B9" s="1">
        <v>3541</v>
      </c>
      <c r="C9" s="8">
        <v>1.33</v>
      </c>
    </row>
    <row r="10" spans="1:3" x14ac:dyDescent="0.35">
      <c r="A10" s="1" t="s">
        <v>4</v>
      </c>
      <c r="B10" s="1">
        <v>3310</v>
      </c>
      <c r="C10" s="8">
        <v>1.25</v>
      </c>
    </row>
    <row r="11" spans="1:3" x14ac:dyDescent="0.35">
      <c r="A11" s="1" t="s">
        <v>5</v>
      </c>
      <c r="B11" s="1">
        <v>3082</v>
      </c>
      <c r="C11" s="8">
        <v>1.1599999999999999</v>
      </c>
    </row>
    <row r="12" spans="1:3" x14ac:dyDescent="0.35">
      <c r="A12" s="1" t="s">
        <v>6</v>
      </c>
      <c r="B12" s="1">
        <v>3014</v>
      </c>
      <c r="C12" s="8">
        <v>1.1299999999999999</v>
      </c>
    </row>
    <row r="13" spans="1:3" x14ac:dyDescent="0.35">
      <c r="A13" s="1" t="s">
        <v>7</v>
      </c>
      <c r="B13" s="1">
        <v>2346</v>
      </c>
      <c r="C13" s="8">
        <v>0.88</v>
      </c>
    </row>
    <row r="14" spans="1:3" x14ac:dyDescent="0.35">
      <c r="A14" s="1" t="s">
        <v>8</v>
      </c>
      <c r="B14" s="1">
        <v>2186</v>
      </c>
      <c r="C14" s="8">
        <v>0.82</v>
      </c>
    </row>
    <row r="16" spans="1:3" x14ac:dyDescent="0.35">
      <c r="A16" t="s">
        <v>17</v>
      </c>
    </row>
    <row r="17" spans="1:1" x14ac:dyDescent="0.35">
      <c r="A17" s="6" t="s">
        <v>18</v>
      </c>
    </row>
    <row r="18" spans="1:1" x14ac:dyDescent="0.35">
      <c r="A18" s="6" t="s">
        <v>19</v>
      </c>
    </row>
    <row r="19" spans="1:1" x14ac:dyDescent="0.35">
      <c r="A19" s="6" t="s">
        <v>20</v>
      </c>
    </row>
    <row r="20" spans="1:1" x14ac:dyDescent="0.35">
      <c r="A20" s="6" t="s">
        <v>21</v>
      </c>
    </row>
    <row r="21" spans="1:1" x14ac:dyDescent="0.35">
      <c r="A21" s="6" t="s">
        <v>22</v>
      </c>
    </row>
    <row r="23" spans="1:1" x14ac:dyDescent="0.35">
      <c r="A23" s="14" t="s">
        <v>150</v>
      </c>
    </row>
  </sheetData>
  <hyperlinks>
    <hyperlink ref="A23" location="Оглавление!A1" display="К Оглавлению" xr:uid="{D036A610-5CD0-4832-890C-02C80546282B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3908-D802-4C2E-84FE-8DB0FA802B61}">
  <dimension ref="A1:C24"/>
  <sheetViews>
    <sheetView topLeftCell="A7" workbookViewId="0">
      <selection activeCell="F25" sqref="F25"/>
    </sheetView>
  </sheetViews>
  <sheetFormatPr defaultRowHeight="14.5" x14ac:dyDescent="0.35"/>
  <sheetData>
    <row r="1" spans="1:3" x14ac:dyDescent="0.35">
      <c r="A1" s="4" t="s">
        <v>14</v>
      </c>
    </row>
    <row r="2" spans="1:3" x14ac:dyDescent="0.35">
      <c r="A2" s="3" t="s">
        <v>15</v>
      </c>
    </row>
    <row r="4" spans="1:3" x14ac:dyDescent="0.35">
      <c r="A4" s="5" t="s">
        <v>50</v>
      </c>
      <c r="B4" s="5">
        <v>2022</v>
      </c>
      <c r="C4" s="5">
        <v>2023</v>
      </c>
    </row>
    <row r="5" spans="1:3" x14ac:dyDescent="0.35">
      <c r="A5" s="1">
        <v>1</v>
      </c>
      <c r="B5" s="1">
        <v>1977</v>
      </c>
      <c r="C5" s="1">
        <v>2795</v>
      </c>
    </row>
    <row r="6" spans="1:3" x14ac:dyDescent="0.35">
      <c r="A6" s="1">
        <v>2</v>
      </c>
      <c r="B6" s="1">
        <v>2109</v>
      </c>
      <c r="C6" s="1">
        <v>3056</v>
      </c>
    </row>
    <row r="7" spans="1:3" x14ac:dyDescent="0.35">
      <c r="A7" s="1">
        <v>3</v>
      </c>
      <c r="B7" s="1">
        <v>3002</v>
      </c>
      <c r="C7" s="1">
        <v>3523</v>
      </c>
    </row>
    <row r="8" spans="1:3" x14ac:dyDescent="0.35">
      <c r="A8" s="1">
        <v>4</v>
      </c>
      <c r="B8" s="1">
        <v>3223</v>
      </c>
      <c r="C8" s="1">
        <v>2951</v>
      </c>
    </row>
    <row r="9" spans="1:3" x14ac:dyDescent="0.35">
      <c r="A9" s="1">
        <v>5</v>
      </c>
      <c r="B9" s="1">
        <v>2414</v>
      </c>
      <c r="C9" s="1">
        <v>2568</v>
      </c>
    </row>
    <row r="10" spans="1:3" x14ac:dyDescent="0.35">
      <c r="A10" s="1">
        <v>6</v>
      </c>
      <c r="B10" s="1">
        <v>2792</v>
      </c>
      <c r="C10" s="1">
        <v>2651</v>
      </c>
    </row>
    <row r="11" spans="1:3" x14ac:dyDescent="0.35">
      <c r="A11" s="1">
        <v>7</v>
      </c>
      <c r="B11" s="1">
        <v>2836</v>
      </c>
      <c r="C11" s="1">
        <v>2276</v>
      </c>
    </row>
    <row r="12" spans="1:3" x14ac:dyDescent="0.35">
      <c r="A12" s="1">
        <v>8</v>
      </c>
      <c r="B12" s="1">
        <v>2987</v>
      </c>
      <c r="C12" s="1">
        <v>2433</v>
      </c>
    </row>
    <row r="13" spans="1:3" x14ac:dyDescent="0.35">
      <c r="A13" s="1">
        <v>9</v>
      </c>
      <c r="B13" s="1">
        <v>3089</v>
      </c>
      <c r="C13" s="1">
        <v>2240</v>
      </c>
    </row>
    <row r="14" spans="1:3" x14ac:dyDescent="0.35">
      <c r="A14" s="1">
        <v>10</v>
      </c>
      <c r="B14" s="1">
        <v>3265</v>
      </c>
      <c r="C14" s="1">
        <v>2117</v>
      </c>
    </row>
    <row r="15" spans="1:3" x14ac:dyDescent="0.35">
      <c r="A15" s="1">
        <v>11</v>
      </c>
      <c r="B15" s="1">
        <v>3156</v>
      </c>
      <c r="C15" s="1">
        <v>1509</v>
      </c>
    </row>
    <row r="16" spans="1:3" x14ac:dyDescent="0.35">
      <c r="A16" s="1">
        <v>12</v>
      </c>
      <c r="B16" s="1">
        <v>3303</v>
      </c>
      <c r="C16" s="1">
        <v>0</v>
      </c>
    </row>
    <row r="18" spans="1:1" x14ac:dyDescent="0.35">
      <c r="A18" t="s">
        <v>17</v>
      </c>
    </row>
    <row r="19" spans="1:1" x14ac:dyDescent="0.35">
      <c r="A19" s="6" t="s">
        <v>23</v>
      </c>
    </row>
    <row r="20" spans="1:1" x14ac:dyDescent="0.35">
      <c r="A20" s="6" t="s">
        <v>24</v>
      </c>
    </row>
    <row r="21" spans="1:1" x14ac:dyDescent="0.35">
      <c r="A21" s="6" t="s">
        <v>25</v>
      </c>
    </row>
    <row r="22" spans="1:1" x14ac:dyDescent="0.35">
      <c r="A22" s="6" t="s">
        <v>121</v>
      </c>
    </row>
    <row r="24" spans="1:1" x14ac:dyDescent="0.35">
      <c r="A24" s="14" t="s">
        <v>150</v>
      </c>
    </row>
  </sheetData>
  <conditionalFormatting sqref="B5:B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24" location="Оглавление!A1" display="К Оглавлению" xr:uid="{05E2A0A1-56E2-4E9F-928F-47AD5A11CDE9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1702-5089-42A6-97EA-1D172017D241}">
  <dimension ref="A1:F27"/>
  <sheetViews>
    <sheetView topLeftCell="A10" workbookViewId="0">
      <selection activeCell="A27" sqref="A27:A28"/>
    </sheetView>
  </sheetViews>
  <sheetFormatPr defaultRowHeight="14.5" x14ac:dyDescent="0.35"/>
  <cols>
    <col min="3" max="3" width="15" bestFit="1" customWidth="1"/>
    <col min="4" max="4" width="15.7265625" bestFit="1" customWidth="1"/>
    <col min="5" max="5" width="17.54296875" customWidth="1"/>
  </cols>
  <sheetData>
    <row r="1" spans="1:6" x14ac:dyDescent="0.35">
      <c r="A1" s="4" t="s">
        <v>28</v>
      </c>
      <c r="B1" s="4"/>
      <c r="C1" s="4"/>
    </row>
    <row r="2" spans="1:6" x14ac:dyDescent="0.35">
      <c r="A2" s="3" t="s">
        <v>49</v>
      </c>
      <c r="B2" s="3"/>
      <c r="C2" s="3"/>
    </row>
    <row r="4" spans="1:6" x14ac:dyDescent="0.35">
      <c r="A4" s="9" t="s">
        <v>26</v>
      </c>
      <c r="B4" s="5" t="s">
        <v>38</v>
      </c>
      <c r="C4" s="5" t="s">
        <v>29</v>
      </c>
      <c r="D4" s="5" t="s">
        <v>27</v>
      </c>
      <c r="E4" s="5" t="s">
        <v>30</v>
      </c>
      <c r="F4" s="7"/>
    </row>
    <row r="5" spans="1:6" x14ac:dyDescent="0.35">
      <c r="A5" s="10">
        <v>235391</v>
      </c>
      <c r="B5" s="2" t="s">
        <v>39</v>
      </c>
      <c r="C5" s="1">
        <v>48</v>
      </c>
      <c r="D5" s="1">
        <v>361</v>
      </c>
      <c r="E5" s="2">
        <v>7.52</v>
      </c>
    </row>
    <row r="6" spans="1:6" x14ac:dyDescent="0.35">
      <c r="A6" s="10">
        <v>273317</v>
      </c>
      <c r="B6" s="2" t="s">
        <v>40</v>
      </c>
      <c r="C6" s="1">
        <v>18</v>
      </c>
      <c r="D6" s="1">
        <v>256</v>
      </c>
      <c r="E6" s="2">
        <v>14.22</v>
      </c>
    </row>
    <row r="7" spans="1:6" x14ac:dyDescent="0.35">
      <c r="A7" s="10">
        <v>201521</v>
      </c>
      <c r="B7" s="2" t="s">
        <v>41</v>
      </c>
      <c r="C7" s="1">
        <v>12</v>
      </c>
      <c r="D7" s="1">
        <v>236</v>
      </c>
      <c r="E7" s="2">
        <v>18.149999999999999</v>
      </c>
    </row>
    <row r="8" spans="1:6" x14ac:dyDescent="0.35">
      <c r="A8" s="10">
        <v>211970</v>
      </c>
      <c r="B8" s="2" t="s">
        <v>42</v>
      </c>
      <c r="C8" s="1">
        <v>13</v>
      </c>
      <c r="D8" s="1">
        <v>236</v>
      </c>
      <c r="E8" s="2">
        <v>19.670000000000002</v>
      </c>
    </row>
    <row r="9" spans="1:6" x14ac:dyDescent="0.35">
      <c r="A9" s="10">
        <v>132946</v>
      </c>
      <c r="B9" s="2" t="s">
        <v>43</v>
      </c>
      <c r="C9" s="1">
        <v>12</v>
      </c>
      <c r="D9" s="1">
        <v>227</v>
      </c>
      <c r="E9" s="2">
        <v>18.920000000000002</v>
      </c>
    </row>
    <row r="10" spans="1:6" x14ac:dyDescent="0.35">
      <c r="A10" s="10">
        <v>53912</v>
      </c>
      <c r="B10" s="2" t="s">
        <v>44</v>
      </c>
      <c r="C10" s="1">
        <v>27</v>
      </c>
      <c r="D10" s="1">
        <v>217</v>
      </c>
      <c r="E10" s="2">
        <v>8.0399999999999991</v>
      </c>
    </row>
    <row r="11" spans="1:6" x14ac:dyDescent="0.35">
      <c r="A11" s="10">
        <v>216353</v>
      </c>
      <c r="B11" s="2" t="s">
        <v>45</v>
      </c>
      <c r="C11" s="1">
        <v>14</v>
      </c>
      <c r="D11" s="1">
        <v>217</v>
      </c>
      <c r="E11" s="2">
        <v>15.5</v>
      </c>
    </row>
    <row r="12" spans="1:6" x14ac:dyDescent="0.35">
      <c r="A12" s="10">
        <v>233686</v>
      </c>
      <c r="B12" s="2" t="s">
        <v>46</v>
      </c>
      <c r="C12" s="1">
        <v>18</v>
      </c>
      <c r="D12" s="1">
        <v>216</v>
      </c>
      <c r="E12" s="2">
        <v>12</v>
      </c>
    </row>
    <row r="13" spans="1:6" x14ac:dyDescent="0.35">
      <c r="A13" s="10">
        <v>204073</v>
      </c>
      <c r="B13" s="2" t="s">
        <v>47</v>
      </c>
      <c r="C13" s="1">
        <v>19</v>
      </c>
      <c r="D13" s="1">
        <v>213</v>
      </c>
      <c r="E13" s="2">
        <v>11.21</v>
      </c>
    </row>
    <row r="14" spans="1:6" x14ac:dyDescent="0.35">
      <c r="A14" s="10">
        <v>267054</v>
      </c>
      <c r="B14" s="2" t="s">
        <v>48</v>
      </c>
      <c r="C14" s="1">
        <v>15</v>
      </c>
      <c r="D14" s="1">
        <v>209</v>
      </c>
      <c r="E14" s="2">
        <v>13.93</v>
      </c>
    </row>
    <row r="18" spans="1:2" x14ac:dyDescent="0.35">
      <c r="A18" t="s">
        <v>17</v>
      </c>
    </row>
    <row r="19" spans="1:2" x14ac:dyDescent="0.35">
      <c r="A19" s="6" t="s">
        <v>31</v>
      </c>
      <c r="B19" s="6"/>
    </row>
    <row r="20" spans="1:2" x14ac:dyDescent="0.35">
      <c r="A20" s="6" t="s">
        <v>36</v>
      </c>
      <c r="B20" s="6"/>
    </row>
    <row r="21" spans="1:2" x14ac:dyDescent="0.35">
      <c r="A21" s="6" t="s">
        <v>32</v>
      </c>
      <c r="B21" s="6"/>
    </row>
    <row r="22" spans="1:2" x14ac:dyDescent="0.35">
      <c r="A22" s="6" t="s">
        <v>33</v>
      </c>
      <c r="B22" s="6"/>
    </row>
    <row r="23" spans="1:2" x14ac:dyDescent="0.35">
      <c r="A23" s="6" t="s">
        <v>34</v>
      </c>
      <c r="B23" s="6"/>
    </row>
    <row r="24" spans="1:2" x14ac:dyDescent="0.35">
      <c r="A24" s="6" t="s">
        <v>35</v>
      </c>
      <c r="B24" s="6"/>
    </row>
    <row r="25" spans="1:2" x14ac:dyDescent="0.35">
      <c r="A25" s="6" t="s">
        <v>37</v>
      </c>
      <c r="B25" s="6"/>
    </row>
    <row r="27" spans="1:2" x14ac:dyDescent="0.35">
      <c r="A27" s="14" t="s">
        <v>150</v>
      </c>
    </row>
  </sheetData>
  <phoneticPr fontId="5" type="noConversion"/>
  <conditionalFormatting sqref="E5:E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27" location="Оглавление!A1" display="К Оглавлению" xr:uid="{5DE4DBC6-B008-4295-9F72-EA11958C0C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CB05-8EAE-45E4-8FF3-E5C529D64620}">
  <dimension ref="A1:B38"/>
  <sheetViews>
    <sheetView workbookViewId="0"/>
  </sheetViews>
  <sheetFormatPr defaultRowHeight="14.5" x14ac:dyDescent="0.35"/>
  <cols>
    <col min="1" max="1" width="25.54296875" customWidth="1"/>
    <col min="2" max="2" width="11.36328125" bestFit="1" customWidth="1"/>
  </cols>
  <sheetData>
    <row r="1" spans="1:2" x14ac:dyDescent="0.35">
      <c r="A1" s="4" t="s">
        <v>73</v>
      </c>
    </row>
    <row r="2" spans="1:2" x14ac:dyDescent="0.35">
      <c r="A2" s="3" t="s">
        <v>74</v>
      </c>
    </row>
    <row r="4" spans="1:2" x14ac:dyDescent="0.35">
      <c r="A4" s="5" t="s">
        <v>72</v>
      </c>
      <c r="B4" s="5" t="s">
        <v>71</v>
      </c>
    </row>
    <row r="5" spans="1:2" x14ac:dyDescent="0.35">
      <c r="A5" s="1" t="s">
        <v>51</v>
      </c>
      <c r="B5" s="1">
        <v>4586</v>
      </c>
    </row>
    <row r="6" spans="1:2" x14ac:dyDescent="0.35">
      <c r="A6" s="1" t="s">
        <v>52</v>
      </c>
      <c r="B6" s="1">
        <v>2766</v>
      </c>
    </row>
    <row r="7" spans="1:2" x14ac:dyDescent="0.35">
      <c r="A7" s="1" t="s">
        <v>53</v>
      </c>
      <c r="B7" s="1">
        <v>1675</v>
      </c>
    </row>
    <row r="8" spans="1:2" x14ac:dyDescent="0.35">
      <c r="A8" s="1" t="s">
        <v>54</v>
      </c>
      <c r="B8" s="1">
        <v>1315</v>
      </c>
    </row>
    <row r="9" spans="1:2" x14ac:dyDescent="0.35">
      <c r="A9" s="1" t="s">
        <v>55</v>
      </c>
      <c r="B9" s="1">
        <v>995</v>
      </c>
    </row>
    <row r="10" spans="1:2" x14ac:dyDescent="0.35">
      <c r="A10" s="1" t="s">
        <v>56</v>
      </c>
      <c r="B10" s="1">
        <v>596</v>
      </c>
    </row>
    <row r="11" spans="1:2" x14ac:dyDescent="0.35">
      <c r="A11" s="1" t="s">
        <v>57</v>
      </c>
      <c r="B11" s="1">
        <v>485</v>
      </c>
    </row>
    <row r="12" spans="1:2" x14ac:dyDescent="0.35">
      <c r="A12" s="1" t="s">
        <v>58</v>
      </c>
      <c r="B12" s="1">
        <v>458</v>
      </c>
    </row>
    <row r="13" spans="1:2" x14ac:dyDescent="0.35">
      <c r="A13" s="1" t="s">
        <v>59</v>
      </c>
      <c r="B13" s="1">
        <v>352</v>
      </c>
    </row>
    <row r="14" spans="1:2" x14ac:dyDescent="0.35">
      <c r="A14" s="1" t="s">
        <v>60</v>
      </c>
      <c r="B14" s="1">
        <v>337</v>
      </c>
    </row>
    <row r="15" spans="1:2" x14ac:dyDescent="0.35">
      <c r="A15" s="1" t="s">
        <v>61</v>
      </c>
      <c r="B15" s="1">
        <v>287</v>
      </c>
    </row>
    <row r="16" spans="1:2" x14ac:dyDescent="0.35">
      <c r="A16" s="1" t="s">
        <v>62</v>
      </c>
      <c r="B16" s="1">
        <v>243</v>
      </c>
    </row>
    <row r="17" spans="1:2" x14ac:dyDescent="0.35">
      <c r="A17" s="1" t="s">
        <v>63</v>
      </c>
      <c r="B17" s="1">
        <v>230</v>
      </c>
    </row>
    <row r="18" spans="1:2" x14ac:dyDescent="0.35">
      <c r="A18" s="1" t="s">
        <v>64</v>
      </c>
      <c r="B18" s="1">
        <v>230</v>
      </c>
    </row>
    <row r="19" spans="1:2" x14ac:dyDescent="0.35">
      <c r="A19" s="1" t="s">
        <v>65</v>
      </c>
      <c r="B19" s="1">
        <v>228</v>
      </c>
    </row>
    <row r="20" spans="1:2" x14ac:dyDescent="0.35">
      <c r="A20" s="1" t="s">
        <v>66</v>
      </c>
      <c r="B20" s="1">
        <v>214</v>
      </c>
    </row>
    <row r="21" spans="1:2" x14ac:dyDescent="0.35">
      <c r="A21" s="1" t="s">
        <v>67</v>
      </c>
      <c r="B21" s="1">
        <v>199</v>
      </c>
    </row>
    <row r="22" spans="1:2" x14ac:dyDescent="0.35">
      <c r="A22" s="1" t="s">
        <v>68</v>
      </c>
      <c r="B22" s="1">
        <v>196</v>
      </c>
    </row>
    <row r="23" spans="1:2" x14ac:dyDescent="0.35">
      <c r="A23" s="1" t="s">
        <v>69</v>
      </c>
      <c r="B23" s="1">
        <v>194</v>
      </c>
    </row>
    <row r="24" spans="1:2" x14ac:dyDescent="0.35">
      <c r="A24" s="1" t="s">
        <v>70</v>
      </c>
      <c r="B24" s="1">
        <v>183</v>
      </c>
    </row>
    <row r="26" spans="1:2" x14ac:dyDescent="0.35">
      <c r="A26" t="s">
        <v>17</v>
      </c>
    </row>
    <row r="27" spans="1:2" x14ac:dyDescent="0.35">
      <c r="A27" s="6" t="s">
        <v>82</v>
      </c>
    </row>
    <row r="28" spans="1:2" x14ac:dyDescent="0.35">
      <c r="A28" s="6" t="s">
        <v>75</v>
      </c>
    </row>
    <row r="29" spans="1:2" x14ac:dyDescent="0.35">
      <c r="A29" s="6" t="s">
        <v>76</v>
      </c>
    </row>
    <row r="30" spans="1:2" x14ac:dyDescent="0.35">
      <c r="A30" s="6" t="s">
        <v>77</v>
      </c>
    </row>
    <row r="31" spans="1:2" x14ac:dyDescent="0.35">
      <c r="A31" s="6" t="s">
        <v>78</v>
      </c>
    </row>
    <row r="32" spans="1:2" x14ac:dyDescent="0.35">
      <c r="A32" s="6" t="s">
        <v>79</v>
      </c>
    </row>
    <row r="33" spans="1:1" x14ac:dyDescent="0.35">
      <c r="A33" s="6" t="s">
        <v>80</v>
      </c>
    </row>
    <row r="34" spans="1:1" x14ac:dyDescent="0.35">
      <c r="A34" s="6" t="s">
        <v>81</v>
      </c>
    </row>
    <row r="35" spans="1:1" x14ac:dyDescent="0.35">
      <c r="A35" s="6" t="s">
        <v>122</v>
      </c>
    </row>
    <row r="36" spans="1:1" x14ac:dyDescent="0.35">
      <c r="A36" s="6" t="s">
        <v>123</v>
      </c>
    </row>
    <row r="38" spans="1:1" x14ac:dyDescent="0.35">
      <c r="A38" s="14" t="s">
        <v>150</v>
      </c>
    </row>
  </sheetData>
  <hyperlinks>
    <hyperlink ref="A38" location="Оглавление!A1" display="К Оглавлению" xr:uid="{67BB6B4E-F27C-47CA-8EAC-C77E55E8B912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EFD9-A647-4A64-B597-0A281FBF5510}">
  <dimension ref="A1:K18"/>
  <sheetViews>
    <sheetView topLeftCell="A4" workbookViewId="0">
      <selection activeCell="K13" sqref="K13"/>
    </sheetView>
  </sheetViews>
  <sheetFormatPr defaultRowHeight="14.5" x14ac:dyDescent="0.35"/>
  <cols>
    <col min="2" max="2" width="11.36328125" bestFit="1" customWidth="1"/>
    <col min="3" max="3" width="14.453125" bestFit="1" customWidth="1"/>
  </cols>
  <sheetData>
    <row r="1" spans="1:11" x14ac:dyDescent="0.35">
      <c r="A1" s="4" t="s">
        <v>83</v>
      </c>
    </row>
    <row r="2" spans="1:11" x14ac:dyDescent="0.35">
      <c r="A2" s="3" t="s">
        <v>84</v>
      </c>
    </row>
    <row r="4" spans="1:11" x14ac:dyDescent="0.35">
      <c r="A4" s="5" t="s">
        <v>86</v>
      </c>
      <c r="B4" s="5" t="s">
        <v>71</v>
      </c>
      <c r="C4" s="5" t="s">
        <v>85</v>
      </c>
      <c r="E4" t="s">
        <v>17</v>
      </c>
    </row>
    <row r="5" spans="1:11" x14ac:dyDescent="0.35">
      <c r="A5" s="1" t="s">
        <v>87</v>
      </c>
      <c r="B5" s="1">
        <v>127254</v>
      </c>
      <c r="C5" s="1">
        <v>100466.77</v>
      </c>
      <c r="E5" s="6" t="s">
        <v>92</v>
      </c>
    </row>
    <row r="6" spans="1:11" x14ac:dyDescent="0.35">
      <c r="A6" s="1" t="s">
        <v>88</v>
      </c>
      <c r="B6" s="1">
        <v>16485</v>
      </c>
      <c r="C6" s="1">
        <v>154346.42000000001</v>
      </c>
      <c r="E6" s="6" t="s">
        <v>93</v>
      </c>
    </row>
    <row r="7" spans="1:11" x14ac:dyDescent="0.35">
      <c r="A7" s="1" t="s">
        <v>89</v>
      </c>
      <c r="B7" s="1">
        <v>7766</v>
      </c>
      <c r="C7" s="1">
        <v>89563.81</v>
      </c>
      <c r="E7" s="6" t="s">
        <v>94</v>
      </c>
    </row>
    <row r="8" spans="1:11" x14ac:dyDescent="0.35">
      <c r="A8" s="1" t="s">
        <v>90</v>
      </c>
      <c r="B8" s="1">
        <v>5170</v>
      </c>
      <c r="C8" s="1">
        <v>150093.01999999999</v>
      </c>
      <c r="E8" s="6" t="s">
        <v>95</v>
      </c>
    </row>
    <row r="9" spans="1:11" x14ac:dyDescent="0.35">
      <c r="A9" s="1" t="s">
        <v>91</v>
      </c>
      <c r="B9" s="1">
        <v>890</v>
      </c>
      <c r="C9" s="1">
        <v>70747.66</v>
      </c>
      <c r="E9" s="6" t="s">
        <v>96</v>
      </c>
    </row>
    <row r="10" spans="1:11" x14ac:dyDescent="0.35">
      <c r="E10" s="6" t="s">
        <v>97</v>
      </c>
    </row>
    <row r="11" spans="1:11" x14ac:dyDescent="0.35">
      <c r="E11" s="6" t="s">
        <v>98</v>
      </c>
    </row>
    <row r="12" spans="1:11" x14ac:dyDescent="0.35">
      <c r="A12" s="6"/>
    </row>
    <row r="13" spans="1:11" x14ac:dyDescent="0.35">
      <c r="A13" s="6"/>
      <c r="K13" s="14" t="s">
        <v>150</v>
      </c>
    </row>
    <row r="14" spans="1:11" x14ac:dyDescent="0.35">
      <c r="A14" s="6"/>
    </row>
    <row r="15" spans="1:11" x14ac:dyDescent="0.35">
      <c r="A15" s="6"/>
    </row>
    <row r="16" spans="1:11" x14ac:dyDescent="0.35">
      <c r="A16" s="6"/>
    </row>
    <row r="17" spans="1:1" x14ac:dyDescent="0.35">
      <c r="A17" s="6"/>
    </row>
    <row r="18" spans="1:1" x14ac:dyDescent="0.35">
      <c r="A18" s="6"/>
    </row>
  </sheetData>
  <conditionalFormatting sqref="B5:B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K13" location="Оглавление!A1" display="К Оглавлению" xr:uid="{A6EFB0C9-5A70-4838-B72F-AF508494C18E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D3F0-5186-4E55-80EF-ABBDE7201BA0}">
  <dimension ref="A1:F14"/>
  <sheetViews>
    <sheetView workbookViewId="0"/>
  </sheetViews>
  <sheetFormatPr defaultRowHeight="14.5" x14ac:dyDescent="0.35"/>
  <cols>
    <col min="1" max="1" width="15.81640625" customWidth="1"/>
    <col min="2" max="2" width="18" bestFit="1" customWidth="1"/>
    <col min="3" max="3" width="12.90625" bestFit="1" customWidth="1"/>
    <col min="4" max="4" width="14.90625" bestFit="1" customWidth="1"/>
    <col min="5" max="5" width="12.90625" bestFit="1" customWidth="1"/>
    <col min="6" max="6" width="18.54296875" bestFit="1" customWidth="1"/>
  </cols>
  <sheetData>
    <row r="1" spans="1:6" x14ac:dyDescent="0.35">
      <c r="A1" s="4" t="s">
        <v>99</v>
      </c>
    </row>
    <row r="2" spans="1:6" x14ac:dyDescent="0.35">
      <c r="A2" s="3" t="s">
        <v>110</v>
      </c>
    </row>
    <row r="4" spans="1:6" x14ac:dyDescent="0.35">
      <c r="A4" s="5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109</v>
      </c>
    </row>
    <row r="5" spans="1:6" x14ac:dyDescent="0.35">
      <c r="A5" s="1">
        <v>1</v>
      </c>
      <c r="B5" s="8">
        <v>10.17</v>
      </c>
      <c r="C5" s="1">
        <v>24252</v>
      </c>
      <c r="D5" s="1">
        <v>21780</v>
      </c>
      <c r="E5" s="1">
        <v>0.89800000000000002</v>
      </c>
      <c r="F5" s="1">
        <v>0.90100000000000002</v>
      </c>
    </row>
    <row r="7" spans="1:6" x14ac:dyDescent="0.35">
      <c r="A7" t="s">
        <v>17</v>
      </c>
    </row>
    <row r="8" spans="1:6" x14ac:dyDescent="0.35">
      <c r="A8" s="6" t="s">
        <v>105</v>
      </c>
    </row>
    <row r="9" spans="1:6" x14ac:dyDescent="0.35">
      <c r="A9" s="6" t="s">
        <v>106</v>
      </c>
    </row>
    <row r="10" spans="1:6" x14ac:dyDescent="0.35">
      <c r="A10" s="6" t="s">
        <v>111</v>
      </c>
    </row>
    <row r="11" spans="1:6" x14ac:dyDescent="0.35">
      <c r="A11" s="6" t="s">
        <v>112</v>
      </c>
    </row>
    <row r="12" spans="1:6" x14ac:dyDescent="0.35">
      <c r="A12" s="6" t="s">
        <v>107</v>
      </c>
    </row>
    <row r="14" spans="1:6" x14ac:dyDescent="0.35">
      <c r="A14" s="14" t="s">
        <v>150</v>
      </c>
    </row>
  </sheetData>
  <hyperlinks>
    <hyperlink ref="A14" location="Оглавление!A1" display="К Оглавлению" xr:uid="{57CA7AF6-9EB5-4196-85C2-E2E56482AFB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21A5-609A-493C-AF74-0F6250C64038}">
  <dimension ref="A1:D46"/>
  <sheetViews>
    <sheetView topLeftCell="A28" workbookViewId="0">
      <selection activeCell="A46" sqref="A46"/>
    </sheetView>
  </sheetViews>
  <sheetFormatPr defaultRowHeight="14.5" x14ac:dyDescent="0.35"/>
  <cols>
    <col min="1" max="1" width="16.7265625" customWidth="1"/>
    <col min="2" max="2" width="16.81640625" bestFit="1" customWidth="1"/>
    <col min="3" max="4" width="16.1796875" bestFit="1" customWidth="1"/>
  </cols>
  <sheetData>
    <row r="1" spans="1:4" x14ac:dyDescent="0.35">
      <c r="A1" s="4" t="s">
        <v>108</v>
      </c>
    </row>
    <row r="2" spans="1:4" x14ac:dyDescent="0.35">
      <c r="A2" s="3" t="s">
        <v>132</v>
      </c>
    </row>
    <row r="4" spans="1:4" x14ac:dyDescent="0.35">
      <c r="A4" t="s">
        <v>124</v>
      </c>
      <c r="B4" s="5" t="s">
        <v>113</v>
      </c>
      <c r="C4" s="5" t="s">
        <v>114</v>
      </c>
      <c r="D4" s="5" t="s">
        <v>115</v>
      </c>
    </row>
    <row r="5" spans="1:4" x14ac:dyDescent="0.35">
      <c r="B5" s="1">
        <v>245744</v>
      </c>
      <c r="C5" s="1">
        <v>8870</v>
      </c>
      <c r="D5" s="1">
        <v>3.61</v>
      </c>
    </row>
    <row r="7" spans="1:4" x14ac:dyDescent="0.35">
      <c r="A7" s="5" t="s">
        <v>125</v>
      </c>
      <c r="B7" s="5" t="s">
        <v>114</v>
      </c>
      <c r="C7" s="5" t="s">
        <v>113</v>
      </c>
      <c r="D7" s="5" t="s">
        <v>115</v>
      </c>
    </row>
    <row r="8" spans="1:4" x14ac:dyDescent="0.35">
      <c r="A8" s="11">
        <v>44562</v>
      </c>
      <c r="B8" s="1">
        <v>144</v>
      </c>
      <c r="C8" s="1">
        <v>1977</v>
      </c>
      <c r="D8" s="8">
        <v>7.28</v>
      </c>
    </row>
    <row r="9" spans="1:4" x14ac:dyDescent="0.35">
      <c r="A9" s="11">
        <v>44593</v>
      </c>
      <c r="B9" s="1">
        <v>154</v>
      </c>
      <c r="C9" s="1">
        <v>2109</v>
      </c>
      <c r="D9" s="8">
        <v>7.3</v>
      </c>
    </row>
    <row r="10" spans="1:4" x14ac:dyDescent="0.35">
      <c r="A10" s="11">
        <v>44621</v>
      </c>
      <c r="B10" s="1">
        <v>186</v>
      </c>
      <c r="C10" s="1">
        <v>3002</v>
      </c>
      <c r="D10" s="8">
        <v>6.2</v>
      </c>
    </row>
    <row r="11" spans="1:4" x14ac:dyDescent="0.35">
      <c r="A11" s="11">
        <v>44652</v>
      </c>
      <c r="B11" s="1">
        <v>272</v>
      </c>
      <c r="C11" s="1">
        <v>3223</v>
      </c>
      <c r="D11" s="8">
        <v>8.44</v>
      </c>
    </row>
    <row r="12" spans="1:4" x14ac:dyDescent="0.35">
      <c r="A12" s="11">
        <v>44682</v>
      </c>
      <c r="B12" s="1">
        <v>228</v>
      </c>
      <c r="C12" s="1">
        <v>2414</v>
      </c>
      <c r="D12" s="8">
        <v>9.44</v>
      </c>
    </row>
    <row r="13" spans="1:4" x14ac:dyDescent="0.35">
      <c r="A13" s="11">
        <v>44713</v>
      </c>
      <c r="B13" s="1">
        <v>301</v>
      </c>
      <c r="C13" s="1">
        <v>2792</v>
      </c>
      <c r="D13" s="8">
        <v>10.78</v>
      </c>
    </row>
    <row r="14" spans="1:4" x14ac:dyDescent="0.35">
      <c r="A14" s="11">
        <v>44743</v>
      </c>
      <c r="B14" s="1">
        <v>248</v>
      </c>
      <c r="C14" s="1">
        <v>2836</v>
      </c>
      <c r="D14" s="8">
        <v>8.74</v>
      </c>
    </row>
    <row r="15" spans="1:4" x14ac:dyDescent="0.35">
      <c r="A15" s="11">
        <v>44774</v>
      </c>
      <c r="B15" s="1">
        <v>292</v>
      </c>
      <c r="C15" s="1">
        <v>2987</v>
      </c>
      <c r="D15" s="8">
        <v>9.7799999999999994</v>
      </c>
    </row>
    <row r="16" spans="1:4" x14ac:dyDescent="0.35">
      <c r="A16" s="11">
        <v>44805</v>
      </c>
      <c r="B16" s="1">
        <v>325</v>
      </c>
      <c r="C16" s="1">
        <v>3089</v>
      </c>
      <c r="D16" s="8">
        <v>10.52</v>
      </c>
    </row>
    <row r="17" spans="1:4" x14ac:dyDescent="0.35">
      <c r="A17" s="11">
        <v>44835</v>
      </c>
      <c r="B17" s="1">
        <v>367</v>
      </c>
      <c r="C17" s="1">
        <v>3265</v>
      </c>
      <c r="D17" s="8">
        <v>11.24</v>
      </c>
    </row>
    <row r="18" spans="1:4" x14ac:dyDescent="0.35">
      <c r="A18" s="11">
        <v>44866</v>
      </c>
      <c r="B18" s="1">
        <v>372</v>
      </c>
      <c r="C18" s="1">
        <v>3156</v>
      </c>
      <c r="D18" s="8">
        <v>11.79</v>
      </c>
    </row>
    <row r="19" spans="1:4" x14ac:dyDescent="0.35">
      <c r="A19" s="11">
        <v>44896</v>
      </c>
      <c r="B19" s="1">
        <v>437</v>
      </c>
      <c r="C19" s="1">
        <v>3303</v>
      </c>
      <c r="D19" s="8">
        <v>13.23</v>
      </c>
    </row>
    <row r="20" spans="1:4" x14ac:dyDescent="0.35">
      <c r="A20" s="11">
        <v>44927</v>
      </c>
      <c r="B20" s="1">
        <v>364</v>
      </c>
      <c r="C20" s="1">
        <v>2795</v>
      </c>
      <c r="D20" s="8">
        <v>13.02</v>
      </c>
    </row>
    <row r="21" spans="1:4" x14ac:dyDescent="0.35">
      <c r="A21" s="11">
        <v>44958</v>
      </c>
      <c r="B21" s="1">
        <v>426</v>
      </c>
      <c r="C21" s="1">
        <v>3056</v>
      </c>
      <c r="D21" s="8">
        <v>13.94</v>
      </c>
    </row>
    <row r="22" spans="1:4" x14ac:dyDescent="0.35">
      <c r="A22" s="11">
        <v>44986</v>
      </c>
      <c r="B22" s="1">
        <v>480</v>
      </c>
      <c r="C22" s="1">
        <v>3523</v>
      </c>
      <c r="D22" s="8">
        <v>13.62</v>
      </c>
    </row>
    <row r="23" spans="1:4" x14ac:dyDescent="0.35">
      <c r="A23" s="11">
        <v>45017</v>
      </c>
      <c r="B23" s="1">
        <v>458</v>
      </c>
      <c r="C23" s="1">
        <v>2951</v>
      </c>
      <c r="D23" s="8">
        <v>15.52</v>
      </c>
    </row>
    <row r="24" spans="1:4" x14ac:dyDescent="0.35">
      <c r="A24" s="11">
        <v>45047</v>
      </c>
      <c r="B24" s="1">
        <v>373</v>
      </c>
      <c r="C24" s="1">
        <v>2568</v>
      </c>
      <c r="D24" s="8">
        <v>14.52</v>
      </c>
    </row>
    <row r="25" spans="1:4" x14ac:dyDescent="0.35">
      <c r="A25" s="11">
        <v>45078</v>
      </c>
      <c r="B25" s="1">
        <v>395</v>
      </c>
      <c r="C25" s="1">
        <v>2651</v>
      </c>
      <c r="D25" s="8">
        <v>14.9</v>
      </c>
    </row>
    <row r="26" spans="1:4" x14ac:dyDescent="0.35">
      <c r="A26" s="11">
        <v>45108</v>
      </c>
      <c r="B26" s="1">
        <v>328</v>
      </c>
      <c r="C26" s="1">
        <v>2276</v>
      </c>
      <c r="D26" s="8">
        <v>14.41</v>
      </c>
    </row>
    <row r="27" spans="1:4" x14ac:dyDescent="0.35">
      <c r="A27" s="11">
        <v>45139</v>
      </c>
      <c r="B27" s="1">
        <v>379</v>
      </c>
      <c r="C27" s="1">
        <v>2433</v>
      </c>
      <c r="D27" s="8">
        <v>15.58</v>
      </c>
    </row>
    <row r="28" spans="1:4" x14ac:dyDescent="0.35">
      <c r="A28" s="11">
        <v>45170</v>
      </c>
      <c r="B28" s="1">
        <v>375</v>
      </c>
      <c r="C28" s="1">
        <v>2240</v>
      </c>
      <c r="D28" s="8">
        <v>16.739999999999998</v>
      </c>
    </row>
    <row r="29" spans="1:4" x14ac:dyDescent="0.35">
      <c r="A29" s="11">
        <v>45200</v>
      </c>
      <c r="B29" s="1">
        <v>353</v>
      </c>
      <c r="C29" s="1">
        <v>2117</v>
      </c>
      <c r="D29" s="8">
        <v>16.670000000000002</v>
      </c>
    </row>
    <row r="30" spans="1:4" x14ac:dyDescent="0.35">
      <c r="A30" s="11">
        <v>45231</v>
      </c>
      <c r="B30" s="1">
        <v>217</v>
      </c>
      <c r="C30" s="1">
        <v>1509</v>
      </c>
      <c r="D30" s="8">
        <v>14.38</v>
      </c>
    </row>
    <row r="32" spans="1:4" x14ac:dyDescent="0.35">
      <c r="A32" t="s">
        <v>17</v>
      </c>
    </row>
    <row r="33" spans="1:1" x14ac:dyDescent="0.35">
      <c r="A33" s="6" t="s">
        <v>126</v>
      </c>
    </row>
    <row r="34" spans="1:1" x14ac:dyDescent="0.35">
      <c r="A34" s="6" t="s">
        <v>117</v>
      </c>
    </row>
    <row r="35" spans="1:1" x14ac:dyDescent="0.35">
      <c r="A35" s="6" t="s">
        <v>120</v>
      </c>
    </row>
    <row r="36" spans="1:1" x14ac:dyDescent="0.35">
      <c r="A36" s="6" t="s">
        <v>118</v>
      </c>
    </row>
    <row r="37" spans="1:1" x14ac:dyDescent="0.35">
      <c r="A37" s="6" t="s">
        <v>116</v>
      </c>
    </row>
    <row r="38" spans="1:1" x14ac:dyDescent="0.35">
      <c r="A38" s="6" t="s">
        <v>119</v>
      </c>
    </row>
    <row r="39" spans="1:1" x14ac:dyDescent="0.35">
      <c r="A39" s="12"/>
    </row>
    <row r="40" spans="1:1" x14ac:dyDescent="0.35">
      <c r="A40" s="6" t="s">
        <v>127</v>
      </c>
    </row>
    <row r="41" spans="1:1" x14ac:dyDescent="0.35">
      <c r="A41" s="6" t="s">
        <v>128</v>
      </c>
    </row>
    <row r="42" spans="1:1" x14ac:dyDescent="0.35">
      <c r="A42" s="6" t="s">
        <v>129</v>
      </c>
    </row>
    <row r="43" spans="1:1" x14ac:dyDescent="0.35">
      <c r="A43" s="6" t="s">
        <v>130</v>
      </c>
    </row>
    <row r="44" spans="1:1" x14ac:dyDescent="0.35">
      <c r="A44" s="6" t="s">
        <v>131</v>
      </c>
    </row>
    <row r="46" spans="1:1" x14ac:dyDescent="0.35">
      <c r="A46" s="14" t="s">
        <v>150</v>
      </c>
    </row>
  </sheetData>
  <hyperlinks>
    <hyperlink ref="A46" location="Оглавление!A1" display="К Оглавлению" xr:uid="{5D5B2E0F-E0F3-404E-8513-D798307C6BE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Оглавление</vt:lpstr>
      <vt:lpstr>1_Регионы</vt:lpstr>
      <vt:lpstr>2_Динамика_донаций</vt:lpstr>
      <vt:lpstr>3_Активные_доноры</vt:lpstr>
      <vt:lpstr>4_Бонусы</vt:lpstr>
      <vt:lpstr>5_Соцсети</vt:lpstr>
      <vt:lpstr>6_Retention</vt:lpstr>
      <vt:lpstr>7_План_vs_факт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Кривякина</dc:creator>
  <cp:lastModifiedBy>Ирина Кривякина</cp:lastModifiedBy>
  <dcterms:created xsi:type="dcterms:W3CDTF">2026-04-27T09:20:16Z</dcterms:created>
  <dcterms:modified xsi:type="dcterms:W3CDTF">2026-04-30T11:39:39Z</dcterms:modified>
</cp:coreProperties>
</file>